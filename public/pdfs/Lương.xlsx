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ầu tư (20260201-20260430)" sheetId="1" r:id="rId5"/>
    <sheet state="visible" name="Đầu tư (20260107-20260130" sheetId="2" r:id="rId6"/>
    <sheet state="visible" name="thông tin" sheetId="3" r:id="rId7"/>
    <sheet state="visible" name="Thu Nhập FJP" sheetId="4" r:id="rId8"/>
    <sheet state="visible" name="Trang tính1" sheetId="5" r:id="rId9"/>
  </sheets>
  <definedNames/>
  <calcPr/>
</workbook>
</file>

<file path=xl/sharedStrings.xml><?xml version="1.0" encoding="utf-8"?>
<sst xmlns="http://schemas.openxmlformats.org/spreadsheetml/2006/main" count="108" uniqueCount="64">
  <si>
    <t>Vốn</t>
  </si>
  <si>
    <t>Giá Bán (Vàng)</t>
  </si>
  <si>
    <t>Vốn Tanaka</t>
  </si>
  <si>
    <t>Hiện tại</t>
  </si>
  <si>
    <t>Bạc</t>
  </si>
  <si>
    <t>Vốn cứng</t>
  </si>
  <si>
    <t>Lợi nhuận</t>
  </si>
  <si>
    <t>Platium</t>
  </si>
  <si>
    <t>- ko thay đổi</t>
  </si>
  <si>
    <t>Lịch sử - Hiện tại</t>
  </si>
  <si>
    <t>Đầu tư</t>
  </si>
  <si>
    <t>Bán</t>
  </si>
  <si>
    <t>Loại</t>
  </si>
  <si>
    <t>Vàng</t>
  </si>
  <si>
    <t>Ngày</t>
  </si>
  <si>
    <t>Số tiền (Vốn)</t>
  </si>
  <si>
    <t>Số tiền Bán Tanaka</t>
  </si>
  <si>
    <t>Số tiền Bán Tổng</t>
  </si>
  <si>
    <t>tiền</t>
  </si>
  <si>
    <t>lượng</t>
  </si>
  <si>
    <t>-</t>
  </si>
  <si>
    <t>gam</t>
  </si>
  <si>
    <t>vàng</t>
  </si>
  <si>
    <t>bạc</t>
  </si>
  <si>
    <t xml:space="preserve">cuongminhjp </t>
  </si>
  <si>
    <t>- dự đoán vàng năm 2026: 5000 đô
- man khó lên 
- theo dõi man ngày 23-28/1
nên đầu tư bất động sản và chứng khoán</t>
  </si>
  <si>
    <t>fjp</t>
  </si>
  <si>
    <t>Bonus</t>
  </si>
  <si>
    <t>Total</t>
  </si>
  <si>
    <t>CHE</t>
  </si>
  <si>
    <t>Năm</t>
  </si>
  <si>
    <t>Tháng</t>
  </si>
  <si>
    <t>氏名</t>
  </si>
  <si>
    <t>支　給</t>
  </si>
  <si>
    <t>控　除</t>
  </si>
  <si>
    <t>記事</t>
  </si>
  <si>
    <t>基本給+LS手当</t>
  </si>
  <si>
    <t>非課税通勤手当</t>
  </si>
  <si>
    <t>課税通勤手当</t>
  </si>
  <si>
    <t>固定割増賃金</t>
  </si>
  <si>
    <t xml:space="preserve">ﾘﾓｰﾄﾜｰｸ手当	</t>
  </si>
  <si>
    <t>健康保険</t>
  </si>
  <si>
    <t>厚生年金</t>
  </si>
  <si>
    <t>雇用保険</t>
  </si>
  <si>
    <t>所得税</t>
  </si>
  <si>
    <t>社会保険合計</t>
  </si>
  <si>
    <t>課税対象額</t>
  </si>
  <si>
    <t>課税支給額累計</t>
  </si>
  <si>
    <t>社会保険料累計</t>
  </si>
  <si>
    <t>源泉所得税累計</t>
  </si>
  <si>
    <t>振込支給額</t>
  </si>
  <si>
    <t>支給日</t>
  </si>
  <si>
    <t>支給名称</t>
  </si>
  <si>
    <t>種別</t>
  </si>
  <si>
    <t>支給合計額</t>
  </si>
  <si>
    <t>控除合計額</t>
  </si>
  <si>
    <t>差引支給額</t>
  </si>
  <si>
    <t>3,531,074</t>
  </si>
  <si>
    <t>2024年12月25日</t>
  </si>
  <si>
    <t>令和０６年１２月</t>
  </si>
  <si>
    <t>給与</t>
  </si>
  <si>
    <t>2024年12月10日</t>
  </si>
  <si>
    <t>上期賞与</t>
  </si>
  <si>
    <t>賞与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</si>
</sst>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¥]#,##0"/>
    <numFmt numFmtId="165" formatCode="d/m"/>
    <numFmt numFmtId="166" formatCode="dd/mm"/>
    <numFmt numFmtId="167" formatCode="dd/MM/yyyy"/>
    <numFmt numFmtId="168" formatCode="#.##0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color theme="0"/>
      <name val="Arial"/>
      <scheme val="minor"/>
    </font>
    <font>
      <b/>
      <color rgb="FFFF0000"/>
      <name val="Arial"/>
      <scheme val="minor"/>
    </font>
    <font/>
    <font>
      <sz val="11.0"/>
      <color theme="1"/>
      <name val="Arial"/>
      <scheme val="minor"/>
    </font>
    <font>
      <sz val="11.0"/>
      <color rgb="FF333333"/>
      <name val="Arial"/>
    </font>
    <font>
      <color rgb="FF333333"/>
      <name val="Arial"/>
    </font>
    <font>
      <b/>
      <sz val="11.0"/>
      <color rgb="FF333333"/>
      <name val="Arial"/>
    </font>
    <font>
      <b/>
      <sz val="9.0"/>
      <color rgb="FF083266"/>
      <name val="&quot;ＭＳ Ｐゴシック&quot;"/>
    </font>
    <font>
      <sz val="9.0"/>
      <color rgb="FF2B4BCB"/>
      <name val="&quot;ＭＳ Ｐゴシック&quot;"/>
    </font>
    <font>
      <sz val="9.0"/>
      <color rgb="FF333333"/>
      <name val="&quot;ＭＳ Ｐゴシック&quot;"/>
    </font>
  </fonts>
  <fills count="20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6FA8DC"/>
        <bgColor rgb="FF6FA8DC"/>
      </patternFill>
    </fill>
    <fill>
      <patternFill patternType="solid">
        <fgColor rgb="FF6AA84F"/>
        <bgColor rgb="FF6AA84F"/>
      </patternFill>
    </fill>
    <fill>
      <patternFill patternType="solid">
        <fgColor theme="8"/>
        <bgColor theme="8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D0DEE1"/>
        <bgColor rgb="FFD0DEE1"/>
      </patternFill>
    </fill>
    <fill>
      <patternFill patternType="solid">
        <fgColor rgb="FFFFFFFF"/>
        <bgColor rgb="FFFFFFFF"/>
      </patternFill>
    </fill>
    <fill>
      <patternFill patternType="solid">
        <fgColor rgb="FFDEF3FB"/>
        <bgColor rgb="FFDEF3FB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83266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164" xfId="0" applyBorder="1" applyFont="1" applyNumberFormat="1"/>
    <xf borderId="1" fillId="2" fontId="1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1" fillId="2" fontId="1" numFmtId="0" xfId="0" applyAlignment="1" applyBorder="1" applyFont="1">
      <alignment horizontal="left" readingOrder="0"/>
    </xf>
    <xf borderId="1" fillId="0" fontId="3" numFmtId="164" xfId="0" applyAlignment="1" applyBorder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1" fillId="4" fontId="4" numFmtId="0" xfId="0" applyAlignment="1" applyBorder="1" applyFill="1" applyFont="1">
      <alignment horizontal="center" readingOrder="0"/>
    </xf>
    <xf borderId="1" fillId="5" fontId="5" numFmtId="164" xfId="0" applyAlignment="1" applyBorder="1" applyFill="1" applyFont="1" applyNumberFormat="1">
      <alignment horizontal="right" readingOrder="0"/>
    </xf>
    <xf borderId="0" fillId="6" fontId="2" numFmtId="0" xfId="0" applyAlignment="1" applyFill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3" fillId="0" fontId="6" numFmtId="0" xfId="0" applyBorder="1" applyFont="1"/>
    <xf borderId="2" fillId="7" fontId="1" numFmtId="0" xfId="0" applyAlignment="1" applyBorder="1" applyFill="1" applyFont="1">
      <alignment horizontal="center" readingOrder="0"/>
    </xf>
    <xf borderId="4" fillId="0" fontId="6" numFmtId="0" xfId="0" applyBorder="1" applyFont="1"/>
    <xf borderId="1" fillId="2" fontId="1" numFmtId="4" xfId="0" applyAlignment="1" applyBorder="1" applyFont="1" applyNumberFormat="1">
      <alignment horizontal="center" readingOrder="0"/>
    </xf>
    <xf borderId="2" fillId="2" fontId="1" numFmtId="4" xfId="0" applyAlignment="1" applyBorder="1" applyFont="1" applyNumberFormat="1">
      <alignment horizontal="center" readingOrder="0"/>
    </xf>
    <xf borderId="2" fillId="2" fontId="1" numFmtId="0" xfId="0" applyAlignment="1" applyBorder="1" applyFont="1">
      <alignment horizontal="center" readingOrder="0"/>
    </xf>
    <xf borderId="1" fillId="8" fontId="1" numFmtId="0" xfId="0" applyAlignment="1" applyBorder="1" applyFill="1" applyFont="1">
      <alignment readingOrder="0"/>
    </xf>
    <xf borderId="1" fillId="2" fontId="1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readingOrder="0"/>
    </xf>
    <xf borderId="2" fillId="8" fontId="2" numFmtId="166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0" xfId="0" applyBorder="1" applyFont="1"/>
    <xf borderId="1" fillId="9" fontId="2" numFmtId="0" xfId="0" applyAlignment="1" applyBorder="1" applyFill="1" applyFont="1">
      <alignment readingOrder="0"/>
    </xf>
    <xf borderId="1" fillId="10" fontId="2" numFmtId="0" xfId="0" applyAlignment="1" applyBorder="1" applyFill="1" applyFont="1">
      <alignment readingOrder="0"/>
    </xf>
    <xf borderId="0" fillId="0" fontId="1" numFmtId="166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1" fillId="11" fontId="1" numFmtId="0" xfId="0" applyAlignment="1" applyBorder="1" applyFill="1" applyFont="1">
      <alignment readingOrder="0"/>
    </xf>
    <xf borderId="1" fillId="12" fontId="1" numFmtId="0" xfId="0" applyAlignment="1" applyBorder="1" applyFill="1" applyFont="1">
      <alignment readingOrder="0"/>
    </xf>
    <xf borderId="1" fillId="13" fontId="2" numFmtId="0" xfId="0" applyAlignment="1" applyBorder="1" applyFill="1" applyFont="1">
      <alignment readingOrder="0"/>
    </xf>
    <xf borderId="1" fillId="14" fontId="2" numFmtId="0" xfId="0" applyAlignment="1" applyBorder="1" applyFill="1" applyFont="1">
      <alignment readingOrder="0"/>
    </xf>
    <xf borderId="5" fillId="15" fontId="7" numFmtId="0" xfId="0" applyAlignment="1" applyBorder="1" applyFill="1" applyFont="1">
      <alignment readingOrder="0" vertical="center"/>
    </xf>
    <xf borderId="2" fillId="14" fontId="7" numFmtId="0" xfId="0" applyAlignment="1" applyBorder="1" applyFont="1">
      <alignment horizontal="center" readingOrder="0" vertical="center"/>
    </xf>
    <xf borderId="2" fillId="16" fontId="7" numFmtId="0" xfId="0" applyAlignment="1" applyBorder="1" applyFill="1" applyFont="1">
      <alignment horizontal="center" readingOrder="0" vertical="center"/>
    </xf>
    <xf borderId="6" fillId="17" fontId="8" numFmtId="0" xfId="0" applyAlignment="1" applyBorder="1" applyFill="1" applyFont="1">
      <alignment horizontal="center" readingOrder="0" vertical="center"/>
    </xf>
    <xf borderId="7" fillId="0" fontId="6" numFmtId="0" xfId="0" applyBorder="1" applyFont="1"/>
    <xf borderId="8" fillId="0" fontId="6" numFmtId="0" xfId="0" applyBorder="1" applyFont="1"/>
    <xf borderId="9" fillId="17" fontId="9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0" fillId="0" fontId="6" numFmtId="0" xfId="0" applyBorder="1" applyFont="1"/>
    <xf borderId="11" fillId="0" fontId="6" numFmtId="0" xfId="0" applyBorder="1" applyFont="1"/>
    <xf borderId="1" fillId="14" fontId="7" numFmtId="0" xfId="0" applyAlignment="1" applyBorder="1" applyFont="1">
      <alignment readingOrder="0" vertical="center"/>
    </xf>
    <xf borderId="1" fillId="16" fontId="7" numFmtId="0" xfId="0" applyAlignment="1" applyBorder="1" applyFont="1">
      <alignment readingOrder="0" vertical="center"/>
    </xf>
    <xf borderId="1" fillId="17" fontId="8" numFmtId="0" xfId="0" applyAlignment="1" applyBorder="1" applyFont="1">
      <alignment horizontal="center" readingOrder="0" shrinkToFit="0" vertical="center" wrapText="1"/>
    </xf>
    <xf borderId="1" fillId="17" fontId="8" numFmtId="0" xfId="0" applyAlignment="1" applyBorder="1" applyFont="1">
      <alignment horizontal="center" shrinkToFit="0" vertical="center" wrapText="1"/>
    </xf>
    <xf borderId="1" fillId="17" fontId="10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11" fillId="18" fontId="9" numFmtId="168" xfId="0" applyAlignment="1" applyBorder="1" applyFill="1" applyFont="1" applyNumberFormat="1">
      <alignment horizontal="right" readingOrder="0"/>
    </xf>
    <xf borderId="12" fillId="19" fontId="11" numFmtId="0" xfId="0" applyAlignment="1" applyBorder="1" applyFill="1" applyFont="1">
      <alignment horizontal="center" readingOrder="0"/>
    </xf>
    <xf borderId="12" fillId="18" fontId="12" numFmtId="0" xfId="0" applyAlignment="1" applyBorder="1" applyFont="1">
      <alignment horizontal="center" readingOrder="0"/>
    </xf>
    <xf borderId="12" fillId="18" fontId="13" numFmtId="0" xfId="0" applyAlignment="1" applyBorder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8" max="8" width="6.13"/>
    <col customWidth="1" min="9" max="9" width="10.75"/>
    <col customWidth="1" min="11" max="11" width="11.63"/>
    <col customWidth="1" min="12" max="13" width="16.0"/>
    <col customWidth="1" min="14" max="14" width="15.25"/>
  </cols>
  <sheetData>
    <row r="1">
      <c r="A1" s="1" t="s">
        <v>0</v>
      </c>
      <c r="B1" s="2">
        <f>J1+J2</f>
        <v>500270</v>
      </c>
      <c r="D1" s="3" t="s">
        <v>1</v>
      </c>
      <c r="E1" s="4">
        <v>26727.0</v>
      </c>
      <c r="F1" s="5">
        <f>E1*C12</f>
        <v>0</v>
      </c>
      <c r="G1" s="6"/>
      <c r="H1" s="7"/>
      <c r="I1" s="8" t="s">
        <v>2</v>
      </c>
      <c r="J1" s="4">
        <f>SUM(J7:J21)</f>
        <v>0</v>
      </c>
      <c r="K1" s="4">
        <f t="array" ref="K1">XLOOKUP(TODAY(),L8:L23,M8:M23,,-1,-1)</f>
        <v>534540</v>
      </c>
      <c r="L1" s="9">
        <f>K1-J1</f>
        <v>534540</v>
      </c>
      <c r="M1" s="10"/>
      <c r="N1" s="10"/>
      <c r="O1" s="11"/>
    </row>
    <row r="2">
      <c r="A2" s="12" t="s">
        <v>3</v>
      </c>
      <c r="B2" s="2">
        <f t="array" ref="B2">XLOOKUP(TODAY(),L8:L23,N8:N23,,-1,-1)</f>
        <v>534540</v>
      </c>
      <c r="D2" s="13" t="s">
        <v>4</v>
      </c>
      <c r="E2" s="4">
        <v>632.72</v>
      </c>
      <c r="F2" s="14">
        <f>ROUND(D15/E2,6)</f>
        <v>0</v>
      </c>
      <c r="G2" s="6">
        <f>E12-F2</f>
        <v>0</v>
      </c>
      <c r="H2" s="5"/>
      <c r="I2" s="8" t="s">
        <v>5</v>
      </c>
      <c r="J2" s="4">
        <v>500270.0</v>
      </c>
      <c r="K2" s="4"/>
      <c r="L2" s="4"/>
      <c r="M2" s="15"/>
      <c r="N2" s="15"/>
      <c r="O2" s="5"/>
    </row>
    <row r="3">
      <c r="A3" s="16" t="s">
        <v>6</v>
      </c>
      <c r="B3" s="17">
        <f>B2-B1</f>
        <v>34270</v>
      </c>
      <c r="C3" s="11"/>
      <c r="D3" s="13" t="s">
        <v>7</v>
      </c>
      <c r="E3" s="4"/>
      <c r="F3" s="11"/>
      <c r="G3" s="6"/>
      <c r="L3" s="11"/>
      <c r="M3" s="11"/>
      <c r="N3" s="11"/>
      <c r="O3" s="11"/>
    </row>
    <row r="4">
      <c r="C4" s="11"/>
      <c r="D4" s="11"/>
      <c r="E4" s="11"/>
      <c r="F4" s="11" t="s">
        <v>8</v>
      </c>
      <c r="L4" s="11"/>
      <c r="M4" s="11"/>
      <c r="N4" s="11"/>
      <c r="O4" s="11"/>
    </row>
    <row r="5">
      <c r="A5" s="18" t="s">
        <v>9</v>
      </c>
      <c r="I5" s="19" t="s">
        <v>10</v>
      </c>
      <c r="J5" s="20"/>
      <c r="L5" s="21" t="s">
        <v>11</v>
      </c>
      <c r="M5" s="22"/>
      <c r="N5" s="20"/>
      <c r="O5" s="11"/>
    </row>
    <row r="6">
      <c r="A6" s="23" t="s">
        <v>12</v>
      </c>
      <c r="B6" s="24" t="s">
        <v>13</v>
      </c>
      <c r="C6" s="20"/>
      <c r="D6" s="25" t="s">
        <v>4</v>
      </c>
      <c r="E6" s="20"/>
      <c r="F6" s="25" t="s">
        <v>7</v>
      </c>
      <c r="G6" s="20"/>
      <c r="I6" s="26" t="s">
        <v>14</v>
      </c>
      <c r="J6" s="26" t="s">
        <v>15</v>
      </c>
      <c r="L6" s="26" t="s">
        <v>14</v>
      </c>
      <c r="M6" s="26" t="s">
        <v>16</v>
      </c>
      <c r="N6" s="26" t="s">
        <v>17</v>
      </c>
      <c r="O6" s="11"/>
    </row>
    <row r="7">
      <c r="A7" s="1" t="s">
        <v>14</v>
      </c>
      <c r="B7" s="23" t="s">
        <v>18</v>
      </c>
      <c r="C7" s="27" t="s">
        <v>19</v>
      </c>
      <c r="D7" s="27" t="s">
        <v>18</v>
      </c>
      <c r="E7" s="1" t="s">
        <v>19</v>
      </c>
      <c r="F7" s="27" t="s">
        <v>18</v>
      </c>
      <c r="G7" s="1" t="s">
        <v>19</v>
      </c>
      <c r="I7" s="28"/>
      <c r="J7" s="2"/>
      <c r="L7" s="29"/>
      <c r="M7" s="22"/>
      <c r="N7" s="20"/>
      <c r="O7" s="11"/>
    </row>
    <row r="8">
      <c r="A8" s="30"/>
      <c r="B8" s="4">
        <f>E1*C8</f>
        <v>534540</v>
      </c>
      <c r="C8" s="14">
        <v>20.0</v>
      </c>
      <c r="D8" s="4"/>
      <c r="E8" s="14"/>
      <c r="F8" s="14"/>
      <c r="G8" s="14"/>
      <c r="I8" s="31"/>
      <c r="J8" s="4"/>
      <c r="L8" s="30">
        <v>46052.0</v>
      </c>
      <c r="M8" s="2">
        <f>B8+D8+F8</f>
        <v>534540</v>
      </c>
      <c r="N8" s="2">
        <f>M8</f>
        <v>534540</v>
      </c>
      <c r="O8" s="11"/>
    </row>
    <row r="9">
      <c r="A9" s="30"/>
      <c r="B9" s="4"/>
      <c r="C9" s="14"/>
      <c r="D9" s="4"/>
      <c r="E9" s="14"/>
      <c r="F9" s="14"/>
      <c r="G9" s="14"/>
      <c r="I9" s="31"/>
      <c r="J9" s="4"/>
      <c r="L9" s="30"/>
      <c r="M9" s="32"/>
      <c r="N9" s="32"/>
      <c r="O9" s="11"/>
    </row>
    <row r="10">
      <c r="A10" s="30"/>
      <c r="B10" s="4"/>
      <c r="C10" s="14"/>
      <c r="D10" s="4"/>
      <c r="E10" s="14"/>
      <c r="F10" s="14"/>
      <c r="G10" s="14"/>
      <c r="I10" s="31"/>
      <c r="J10" s="4"/>
      <c r="L10" s="30"/>
      <c r="M10" s="32"/>
      <c r="N10" s="32"/>
      <c r="O10" s="11"/>
    </row>
    <row r="11">
      <c r="A11" s="30"/>
      <c r="B11" s="4"/>
      <c r="C11" s="14"/>
      <c r="D11" s="4"/>
      <c r="E11" s="14"/>
      <c r="F11" s="4"/>
      <c r="G11" s="14"/>
      <c r="I11" s="31"/>
      <c r="J11" s="4"/>
      <c r="L11" s="30"/>
      <c r="M11" s="32"/>
      <c r="N11" s="32"/>
      <c r="O11" s="11"/>
    </row>
    <row r="12">
      <c r="A12" s="30"/>
      <c r="B12" s="4"/>
      <c r="C12" s="14"/>
      <c r="D12" s="4"/>
      <c r="E12" s="14"/>
      <c r="F12" s="4"/>
      <c r="G12" s="32"/>
      <c r="I12" s="31"/>
      <c r="J12" s="4"/>
      <c r="L12" s="30"/>
      <c r="M12" s="32"/>
      <c r="N12" s="32"/>
      <c r="O12" s="11"/>
    </row>
    <row r="13">
      <c r="A13" s="30"/>
      <c r="B13" s="4"/>
      <c r="C13" s="14"/>
      <c r="D13" s="4"/>
      <c r="E13" s="14"/>
      <c r="F13" s="4"/>
      <c r="G13" s="14"/>
      <c r="L13" s="30"/>
      <c r="M13" s="32"/>
      <c r="N13" s="32"/>
      <c r="O13" s="11"/>
    </row>
    <row r="14">
      <c r="A14" s="30"/>
      <c r="B14" s="4"/>
      <c r="C14" s="14"/>
      <c r="D14" s="4"/>
      <c r="E14" s="14"/>
      <c r="F14" s="4"/>
      <c r="G14" s="14"/>
      <c r="L14" s="30"/>
      <c r="M14" s="32"/>
      <c r="N14" s="32"/>
    </row>
    <row r="15">
      <c r="A15" s="30"/>
      <c r="B15" s="4"/>
      <c r="C15" s="32"/>
      <c r="D15" s="4"/>
      <c r="E15" s="32"/>
      <c r="F15" s="4"/>
      <c r="G15" s="32"/>
      <c r="L15" s="30"/>
      <c r="M15" s="32"/>
      <c r="N15" s="32"/>
    </row>
    <row r="16">
      <c r="A16" s="30"/>
      <c r="B16" s="4"/>
      <c r="C16" s="32"/>
      <c r="D16" s="4"/>
      <c r="E16" s="32"/>
      <c r="F16" s="4"/>
      <c r="G16" s="32"/>
      <c r="L16" s="30"/>
      <c r="M16" s="32"/>
      <c r="N16" s="32"/>
    </row>
    <row r="17">
      <c r="A17" s="30"/>
      <c r="B17" s="4"/>
      <c r="C17" s="32"/>
      <c r="D17" s="4"/>
      <c r="E17" s="32"/>
      <c r="F17" s="4"/>
      <c r="G17" s="32"/>
      <c r="L17" s="30"/>
      <c r="M17" s="32"/>
      <c r="N17" s="32"/>
    </row>
    <row r="18">
      <c r="A18" s="30"/>
      <c r="B18" s="4"/>
      <c r="C18" s="32"/>
      <c r="D18" s="4"/>
      <c r="E18" s="32"/>
      <c r="F18" s="4"/>
      <c r="G18" s="32"/>
      <c r="L18" s="30"/>
      <c r="M18" s="32"/>
      <c r="N18" s="32"/>
    </row>
    <row r="19">
      <c r="A19" s="11"/>
      <c r="B19" s="11"/>
      <c r="C19" s="11"/>
      <c r="D19" s="11"/>
      <c r="E19" s="11"/>
      <c r="F19" s="11"/>
      <c r="L19" s="30"/>
      <c r="M19" s="32"/>
      <c r="N19" s="32"/>
    </row>
    <row r="20">
      <c r="A20" s="11"/>
      <c r="B20" s="11"/>
      <c r="C20" s="11"/>
      <c r="D20" s="11"/>
      <c r="E20" s="11"/>
      <c r="F20" s="11"/>
    </row>
    <row r="21">
      <c r="A21" s="11"/>
      <c r="B21" s="11"/>
      <c r="C21" s="11"/>
      <c r="D21" s="11"/>
      <c r="E21" s="11"/>
      <c r="F21" s="11"/>
    </row>
    <row r="22">
      <c r="A22" s="11"/>
      <c r="B22" s="11"/>
      <c r="C22" s="11"/>
      <c r="D22" s="11"/>
      <c r="E22" s="11"/>
      <c r="F22" s="11"/>
    </row>
    <row r="23">
      <c r="A23" s="11"/>
      <c r="B23" s="11"/>
      <c r="C23" s="11"/>
      <c r="D23" s="11"/>
      <c r="E23" s="11"/>
      <c r="F23" s="11"/>
    </row>
    <row r="24">
      <c r="A24" s="11"/>
      <c r="B24" s="11"/>
      <c r="C24" s="11"/>
      <c r="D24" s="11"/>
      <c r="E24" s="11"/>
      <c r="F24" s="11"/>
    </row>
  </sheetData>
  <mergeCells count="7">
    <mergeCell ref="A5:G5"/>
    <mergeCell ref="I5:J5"/>
    <mergeCell ref="L5:N5"/>
    <mergeCell ref="B6:C6"/>
    <mergeCell ref="D6:E6"/>
    <mergeCell ref="F6:G6"/>
    <mergeCell ref="L7:N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8" max="8" width="6.13"/>
    <col customWidth="1" min="9" max="9" width="10.75"/>
    <col customWidth="1" min="11" max="11" width="11.63"/>
    <col customWidth="1" min="12" max="13" width="16.0"/>
    <col customWidth="1" min="14" max="14" width="15.25"/>
  </cols>
  <sheetData>
    <row r="1">
      <c r="A1" s="1" t="s">
        <v>0</v>
      </c>
      <c r="B1" s="2">
        <f>J1+J2</f>
        <v>1740270</v>
      </c>
      <c r="D1" s="3" t="s">
        <v>1</v>
      </c>
      <c r="E1" s="4">
        <v>28367.0</v>
      </c>
      <c r="F1" s="5">
        <f>E1*C12</f>
        <v>768384.3044</v>
      </c>
      <c r="G1" s="6"/>
      <c r="H1" s="7"/>
      <c r="I1" s="8" t="s">
        <v>2</v>
      </c>
      <c r="J1" s="4">
        <f>SUM(J7:J21)</f>
        <v>1240000</v>
      </c>
      <c r="K1" s="4">
        <f t="array" ref="K1">XLOOKUP(TODAY(),L8:L23,M8:M23,,-1,-1)</f>
        <v>1459267</v>
      </c>
      <c r="L1" s="9">
        <f>K1-J1</f>
        <v>219267</v>
      </c>
      <c r="M1" s="10"/>
      <c r="N1" s="10"/>
      <c r="O1" s="11"/>
    </row>
    <row r="2">
      <c r="A2" s="12" t="s">
        <v>3</v>
      </c>
      <c r="B2" s="2">
        <f t="array" ref="B2">XLOOKUP(TODAY(),L8:L23,N8:N23,,-1,-1)</f>
        <v>2026607</v>
      </c>
      <c r="D2" s="13" t="s">
        <v>4</v>
      </c>
      <c r="E2" s="4">
        <v>632.72</v>
      </c>
      <c r="F2" s="14">
        <f>ROUND(D15/E2,6)</f>
        <v>873.70875</v>
      </c>
      <c r="G2" s="6">
        <f>E12-F2</f>
        <v>13.10425</v>
      </c>
      <c r="H2" s="5"/>
      <c r="I2" s="8" t="s">
        <v>5</v>
      </c>
      <c r="J2" s="4">
        <v>500270.0</v>
      </c>
      <c r="K2" s="4"/>
      <c r="L2" s="4"/>
      <c r="M2" s="15"/>
      <c r="N2" s="15"/>
      <c r="O2" s="5"/>
    </row>
    <row r="3">
      <c r="A3" s="16" t="s">
        <v>6</v>
      </c>
      <c r="B3" s="17">
        <f>B2-B1</f>
        <v>286337</v>
      </c>
      <c r="C3" s="11"/>
      <c r="D3" s="13" t="s">
        <v>7</v>
      </c>
      <c r="E3" s="4"/>
      <c r="F3" s="11"/>
      <c r="G3" s="6"/>
      <c r="L3" s="11"/>
      <c r="M3" s="11"/>
      <c r="N3" s="11"/>
      <c r="O3" s="11"/>
    </row>
    <row r="4">
      <c r="C4" s="11"/>
      <c r="D4" s="11"/>
      <c r="E4" s="11"/>
      <c r="F4" s="11" t="s">
        <v>8</v>
      </c>
      <c r="L4" s="11"/>
      <c r="M4" s="11"/>
      <c r="N4" s="11"/>
      <c r="O4" s="11"/>
    </row>
    <row r="5">
      <c r="A5" s="18" t="s">
        <v>9</v>
      </c>
      <c r="I5" s="19" t="s">
        <v>10</v>
      </c>
      <c r="J5" s="20"/>
      <c r="L5" s="21" t="s">
        <v>11</v>
      </c>
      <c r="M5" s="22"/>
      <c r="N5" s="20"/>
      <c r="O5" s="11"/>
    </row>
    <row r="6">
      <c r="A6" s="23" t="s">
        <v>12</v>
      </c>
      <c r="B6" s="24" t="s">
        <v>13</v>
      </c>
      <c r="C6" s="20"/>
      <c r="D6" s="25" t="s">
        <v>4</v>
      </c>
      <c r="E6" s="20"/>
      <c r="F6" s="25" t="s">
        <v>7</v>
      </c>
      <c r="G6" s="20"/>
      <c r="I6" s="26" t="s">
        <v>14</v>
      </c>
      <c r="J6" s="26" t="s">
        <v>15</v>
      </c>
      <c r="L6" s="26" t="s">
        <v>14</v>
      </c>
      <c r="M6" s="26" t="s">
        <v>16</v>
      </c>
      <c r="N6" s="26" t="s">
        <v>17</v>
      </c>
      <c r="O6" s="11"/>
    </row>
    <row r="7">
      <c r="A7" s="1" t="s">
        <v>14</v>
      </c>
      <c r="B7" s="23" t="s">
        <v>18</v>
      </c>
      <c r="C7" s="27" t="s">
        <v>19</v>
      </c>
      <c r="D7" s="27" t="s">
        <v>18</v>
      </c>
      <c r="E7" s="1" t="s">
        <v>19</v>
      </c>
      <c r="F7" s="27" t="s">
        <v>18</v>
      </c>
      <c r="G7" s="1" t="s">
        <v>19</v>
      </c>
      <c r="I7" s="28">
        <v>46386.0</v>
      </c>
      <c r="J7" s="2">
        <v>100000.0</v>
      </c>
      <c r="L7" s="29"/>
      <c r="M7" s="22"/>
      <c r="N7" s="20"/>
      <c r="O7" s="11"/>
    </row>
    <row r="8">
      <c r="A8" s="30">
        <v>46041.0</v>
      </c>
      <c r="B8" s="4">
        <v>378428.0</v>
      </c>
      <c r="C8" s="14">
        <v>14.60488</v>
      </c>
      <c r="D8" s="4">
        <v>373162.0</v>
      </c>
      <c r="E8" s="14">
        <v>719.639</v>
      </c>
      <c r="F8" s="14">
        <v>0.0</v>
      </c>
      <c r="G8" s="14" t="s">
        <v>20</v>
      </c>
      <c r="I8" s="31">
        <v>46029.0</v>
      </c>
      <c r="J8" s="4">
        <v>500000.0</v>
      </c>
      <c r="L8" s="30">
        <v>46041.0</v>
      </c>
      <c r="M8" s="2">
        <f t="shared" ref="M8:M18" si="1">$B8+$D8+$F8</f>
        <v>751590</v>
      </c>
      <c r="N8" s="2">
        <f t="shared" ref="N8:N18" si="2">M8+$E$1*20</f>
        <v>1318930</v>
      </c>
      <c r="O8" s="11"/>
    </row>
    <row r="9">
      <c r="A9" s="30">
        <v>46044.0</v>
      </c>
      <c r="B9" s="4">
        <v>577545.0</v>
      </c>
      <c r="C9" s="14">
        <v>21.68205</v>
      </c>
      <c r="D9" s="4">
        <v>365721.0</v>
      </c>
      <c r="E9" s="14">
        <v>719.639</v>
      </c>
      <c r="F9" s="14">
        <v>0.0</v>
      </c>
      <c r="G9" s="14" t="s">
        <v>20</v>
      </c>
      <c r="I9" s="31">
        <v>46036.0</v>
      </c>
      <c r="J9" s="4">
        <v>100000.0</v>
      </c>
      <c r="L9" s="30">
        <v>46044.0</v>
      </c>
      <c r="M9" s="2">
        <f t="shared" si="1"/>
        <v>943266</v>
      </c>
      <c r="N9" s="2">
        <f t="shared" si="2"/>
        <v>1510606</v>
      </c>
      <c r="O9" s="11"/>
    </row>
    <row r="10">
      <c r="A10" s="30">
        <v>46045.0</v>
      </c>
      <c r="B10" s="4">
        <v>600658.0</v>
      </c>
      <c r="C10" s="33">
        <v>21.68205</v>
      </c>
      <c r="D10" s="4">
        <v>396514.0</v>
      </c>
      <c r="E10" s="34">
        <v>719.639</v>
      </c>
      <c r="F10" s="14">
        <v>0.0</v>
      </c>
      <c r="G10" s="14" t="s">
        <v>20</v>
      </c>
      <c r="I10" s="31">
        <v>46043.0</v>
      </c>
      <c r="J10" s="4">
        <v>90000.0</v>
      </c>
      <c r="L10" s="30">
        <v>46045.0</v>
      </c>
      <c r="M10" s="2">
        <f t="shared" si="1"/>
        <v>997172</v>
      </c>
      <c r="N10" s="2">
        <f t="shared" si="2"/>
        <v>1564512</v>
      </c>
      <c r="O10" s="11"/>
    </row>
    <row r="11">
      <c r="A11" s="30">
        <v>46047.0</v>
      </c>
      <c r="B11" s="4">
        <v>595520.0</v>
      </c>
      <c r="C11" s="33">
        <v>2168205.0</v>
      </c>
      <c r="D11" s="4">
        <v>409180.0</v>
      </c>
      <c r="E11" s="34">
        <v>719639.0</v>
      </c>
      <c r="F11" s="4">
        <v>101754.0</v>
      </c>
      <c r="G11" s="14">
        <v>6.69121</v>
      </c>
      <c r="I11" s="31">
        <v>46044.0</v>
      </c>
      <c r="J11" s="4">
        <v>200000.0</v>
      </c>
      <c r="L11" s="30">
        <v>46047.0</v>
      </c>
      <c r="M11" s="2">
        <f t="shared" si="1"/>
        <v>1106454</v>
      </c>
      <c r="N11" s="2">
        <f t="shared" si="2"/>
        <v>1673794</v>
      </c>
      <c r="O11" s="11"/>
    </row>
    <row r="12">
      <c r="A12" s="30">
        <v>46048.0</v>
      </c>
      <c r="B12" s="4">
        <v>745334.0</v>
      </c>
      <c r="C12" s="14">
        <v>27.08726</v>
      </c>
      <c r="D12" s="4">
        <v>522183.0</v>
      </c>
      <c r="E12" s="14">
        <v>886.813</v>
      </c>
      <c r="F12" s="4">
        <v>103634.0</v>
      </c>
      <c r="G12" s="32"/>
      <c r="I12" s="31">
        <v>46048.0</v>
      </c>
      <c r="J12" s="4">
        <v>250000.0</v>
      </c>
      <c r="L12" s="30">
        <v>46048.0</v>
      </c>
      <c r="M12" s="2">
        <f t="shared" si="1"/>
        <v>1371151</v>
      </c>
      <c r="N12" s="2">
        <f t="shared" si="2"/>
        <v>1938491</v>
      </c>
      <c r="O12" s="11"/>
    </row>
    <row r="13">
      <c r="A13" s="30">
        <v>46049.0</v>
      </c>
      <c r="B13" s="4">
        <v>742950.0</v>
      </c>
      <c r="C13" s="14" t="s">
        <v>20</v>
      </c>
      <c r="D13" s="4">
        <v>531938.0</v>
      </c>
      <c r="E13" s="14" t="s">
        <v>20</v>
      </c>
      <c r="F13" s="4">
        <v>97946.0</v>
      </c>
      <c r="G13" s="14" t="s">
        <v>20</v>
      </c>
      <c r="L13" s="30">
        <v>46049.0</v>
      </c>
      <c r="M13" s="2">
        <f t="shared" si="1"/>
        <v>1372834</v>
      </c>
      <c r="N13" s="2">
        <f t="shared" si="2"/>
        <v>1940174</v>
      </c>
      <c r="O13" s="11"/>
    </row>
    <row r="14">
      <c r="A14" s="30">
        <v>46050.0</v>
      </c>
      <c r="B14" s="4">
        <v>751347.0</v>
      </c>
      <c r="C14" s="14" t="s">
        <v>20</v>
      </c>
      <c r="D14" s="4">
        <v>536327.0</v>
      </c>
      <c r="E14" s="14" t="s">
        <v>20</v>
      </c>
      <c r="F14" s="4">
        <v>94708.0</v>
      </c>
      <c r="G14" s="14" t="s">
        <v>20</v>
      </c>
      <c r="L14" s="30">
        <v>46050.0</v>
      </c>
      <c r="M14" s="2">
        <f t="shared" si="1"/>
        <v>1382382</v>
      </c>
      <c r="N14" s="2">
        <f t="shared" si="2"/>
        <v>1949722</v>
      </c>
    </row>
    <row r="15">
      <c r="A15" s="30">
        <v>46050.0</v>
      </c>
      <c r="B15" s="4">
        <v>764566.0</v>
      </c>
      <c r="C15" s="32"/>
      <c r="D15" s="4">
        <v>552813.0</v>
      </c>
      <c r="E15" s="32"/>
      <c r="F15" s="4">
        <v>97304.0</v>
      </c>
      <c r="G15" s="32"/>
      <c r="L15" s="30">
        <v>46050.0</v>
      </c>
      <c r="M15" s="2">
        <f t="shared" si="1"/>
        <v>1414683</v>
      </c>
      <c r="N15" s="2">
        <f t="shared" si="2"/>
        <v>1982023</v>
      </c>
    </row>
    <row r="16">
      <c r="A16" s="30">
        <v>46051.0</v>
      </c>
      <c r="B16" s="4">
        <v>800917.0</v>
      </c>
      <c r="C16" s="32"/>
      <c r="D16" s="4">
        <v>563056.0</v>
      </c>
      <c r="E16" s="32"/>
      <c r="F16" s="4">
        <v>97304.0</v>
      </c>
      <c r="G16" s="32"/>
      <c r="L16" s="30">
        <v>46051.0</v>
      </c>
      <c r="M16" s="2">
        <f t="shared" si="1"/>
        <v>1461277</v>
      </c>
      <c r="N16" s="2">
        <f t="shared" si="2"/>
        <v>2028617</v>
      </c>
    </row>
    <row r="17">
      <c r="A17" s="30">
        <v>46051.0</v>
      </c>
      <c r="B17" s="4">
        <v>812672.0</v>
      </c>
      <c r="C17" s="32"/>
      <c r="D17" s="4">
        <v>567738.0</v>
      </c>
      <c r="E17" s="32"/>
      <c r="F17" s="4">
        <v>99218.0</v>
      </c>
      <c r="G17" s="32"/>
      <c r="L17" s="30">
        <v>46051.0</v>
      </c>
      <c r="M17" s="2">
        <f t="shared" si="1"/>
        <v>1479628</v>
      </c>
      <c r="N17" s="2">
        <f t="shared" si="2"/>
        <v>2046968</v>
      </c>
    </row>
    <row r="18">
      <c r="A18" s="30">
        <v>46052.0</v>
      </c>
      <c r="B18" s="4">
        <v>795851.0</v>
      </c>
      <c r="C18" s="32"/>
      <c r="D18" s="4">
        <v>567738.0</v>
      </c>
      <c r="E18" s="32"/>
      <c r="F18" s="4">
        <v>95678.0</v>
      </c>
      <c r="G18" s="32"/>
      <c r="L18" s="30">
        <v>46052.0</v>
      </c>
      <c r="M18" s="2">
        <f t="shared" si="1"/>
        <v>1459267</v>
      </c>
      <c r="N18" s="2">
        <f t="shared" si="2"/>
        <v>2026607</v>
      </c>
    </row>
    <row r="19">
      <c r="A19" s="11"/>
      <c r="B19" s="11"/>
      <c r="C19" s="11"/>
      <c r="D19" s="11"/>
      <c r="E19" s="11"/>
      <c r="F19" s="11"/>
      <c r="L19" s="30"/>
      <c r="M19" s="32"/>
      <c r="N19" s="32"/>
    </row>
    <row r="20">
      <c r="A20" s="4">
        <v>100000.0</v>
      </c>
      <c r="B20" s="11"/>
      <c r="C20" s="11"/>
      <c r="D20" s="11"/>
      <c r="E20" s="11"/>
      <c r="F20" s="11"/>
    </row>
    <row r="21">
      <c r="A21" s="11"/>
      <c r="C21" s="11" t="s">
        <v>21</v>
      </c>
      <c r="D21" s="35">
        <v>46051.0</v>
      </c>
      <c r="E21" s="35">
        <v>46052.0</v>
      </c>
      <c r="F21" s="35">
        <v>46053.0</v>
      </c>
    </row>
    <row r="22">
      <c r="B22" s="11" t="s">
        <v>22</v>
      </c>
      <c r="C22" s="11">
        <f>A20/E1</f>
        <v>3.52522297</v>
      </c>
      <c r="D22" s="36">
        <f>C22*30002-A20</f>
        <v>5763.739557</v>
      </c>
      <c r="E22" s="11"/>
      <c r="F22" s="11"/>
    </row>
    <row r="23">
      <c r="A23" s="11"/>
      <c r="B23" s="11" t="s">
        <v>23</v>
      </c>
      <c r="C23" s="37">
        <f>A20/594.11</f>
        <v>168.3189982</v>
      </c>
      <c r="D23" s="36">
        <f>C23*64020-A20</f>
        <v>10675782.26</v>
      </c>
      <c r="E23" s="11"/>
      <c r="F23" s="11"/>
    </row>
    <row r="24">
      <c r="A24" s="11"/>
      <c r="B24" s="11"/>
      <c r="C24" s="11"/>
      <c r="D24" s="11"/>
      <c r="E24" s="11"/>
      <c r="F24" s="11"/>
    </row>
  </sheetData>
  <mergeCells count="7">
    <mergeCell ref="A5:G5"/>
    <mergeCell ref="I5:J5"/>
    <mergeCell ref="L5:N5"/>
    <mergeCell ref="B6:C6"/>
    <mergeCell ref="D6:E6"/>
    <mergeCell ref="F6:G6"/>
    <mergeCell ref="L7:N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24</v>
      </c>
    </row>
    <row r="2">
      <c r="A2" s="38" t="s">
        <v>25</v>
      </c>
    </row>
  </sheetData>
  <mergeCells count="1">
    <mergeCell ref="A2:C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14" width="8.0"/>
    <col customWidth="1" min="15" max="15" width="9.38"/>
  </cols>
  <sheetData>
    <row r="1">
      <c r="A1" s="39" t="s">
        <v>26</v>
      </c>
      <c r="B1" s="13">
        <v>1.0</v>
      </c>
      <c r="C1" s="13">
        <v>2.0</v>
      </c>
      <c r="D1" s="13">
        <v>3.0</v>
      </c>
      <c r="E1" s="13">
        <v>4.0</v>
      </c>
      <c r="F1" s="13">
        <v>5.0</v>
      </c>
      <c r="G1" s="13">
        <v>6.0</v>
      </c>
      <c r="H1" s="40">
        <v>7.0</v>
      </c>
      <c r="I1" s="40">
        <v>8.0</v>
      </c>
      <c r="J1" s="40">
        <v>9.0</v>
      </c>
      <c r="K1" s="40">
        <v>10.0</v>
      </c>
      <c r="L1" s="40">
        <v>11.0</v>
      </c>
      <c r="M1" s="40">
        <v>12.0</v>
      </c>
      <c r="N1" s="41" t="s">
        <v>27</v>
      </c>
      <c r="O1" s="41" t="s">
        <v>28</v>
      </c>
      <c r="P1" s="42" t="s">
        <v>29</v>
      </c>
    </row>
    <row r="2">
      <c r="A2" s="14">
        <v>2025.0</v>
      </c>
      <c r="B2" s="4">
        <v>400000.0</v>
      </c>
      <c r="C2" s="4">
        <v>400000.0</v>
      </c>
      <c r="D2" s="4">
        <v>400000.0</v>
      </c>
      <c r="E2" s="4">
        <v>400000.0</v>
      </c>
      <c r="F2" s="4">
        <v>400000.0</v>
      </c>
      <c r="G2" s="4">
        <v>400000.0</v>
      </c>
      <c r="H2" s="4">
        <v>460235.0</v>
      </c>
      <c r="I2" s="4">
        <v>460235.0</v>
      </c>
      <c r="J2" s="4">
        <v>474885.0</v>
      </c>
      <c r="K2" s="4">
        <v>474885.0</v>
      </c>
      <c r="L2" s="4">
        <v>460235.0</v>
      </c>
      <c r="M2" s="4">
        <v>460235.0</v>
      </c>
      <c r="N2" s="4">
        <f>500000+100000</f>
        <v>600000</v>
      </c>
      <c r="O2" s="2">
        <f t="shared" ref="O2:O3" si="1">SUM(B2:N2)</f>
        <v>5790710</v>
      </c>
      <c r="P2" s="32"/>
    </row>
    <row r="3">
      <c r="A3" s="14">
        <v>2026.0</v>
      </c>
      <c r="B3" s="4">
        <v>460235.0</v>
      </c>
      <c r="C3" s="4">
        <v>460235.0</v>
      </c>
      <c r="D3" s="4">
        <v>460235.0</v>
      </c>
      <c r="E3" s="4">
        <v>460235.0</v>
      </c>
      <c r="F3" s="4">
        <v>460235.0</v>
      </c>
      <c r="G3" s="4">
        <v>460235.0</v>
      </c>
      <c r="H3" s="4">
        <v>460235.0</v>
      </c>
      <c r="I3" s="4">
        <v>460235.0</v>
      </c>
      <c r="J3" s="4">
        <v>460235.0</v>
      </c>
      <c r="K3" s="4">
        <v>460235.0</v>
      </c>
      <c r="L3" s="4">
        <v>460235.0</v>
      </c>
      <c r="M3" s="4">
        <v>460235.0</v>
      </c>
      <c r="N3" s="4">
        <f>660000*1.4*1.1</f>
        <v>1016400</v>
      </c>
      <c r="O3" s="2">
        <f t="shared" si="1"/>
        <v>6539220</v>
      </c>
      <c r="P3" s="3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2"/>
    </row>
    <row r="5">
      <c r="A5" s="3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2"/>
    </row>
    <row r="6">
      <c r="A6" s="3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32"/>
    </row>
    <row r="7">
      <c r="A7" s="3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2"/>
    </row>
    <row r="8">
      <c r="A8" s="3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32"/>
    </row>
    <row r="9">
      <c r="A9" s="3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32"/>
    </row>
    <row r="10">
      <c r="A10" s="3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32"/>
    </row>
    <row r="11">
      <c r="A11" s="3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32"/>
    </row>
    <row r="12">
      <c r="A12" s="3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32"/>
    </row>
    <row r="13">
      <c r="A13" s="3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32"/>
    </row>
    <row r="14">
      <c r="A14" s="3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6.25"/>
    <col customWidth="1" min="3" max="3" width="4.63"/>
  </cols>
  <sheetData>
    <row r="1">
      <c r="A1" s="43" t="s">
        <v>30</v>
      </c>
      <c r="B1" s="43" t="s">
        <v>31</v>
      </c>
      <c r="C1" s="43" t="s">
        <v>32</v>
      </c>
      <c r="D1" s="44" t="s">
        <v>33</v>
      </c>
      <c r="E1" s="22"/>
      <c r="F1" s="22"/>
      <c r="G1" s="22"/>
      <c r="H1" s="20"/>
      <c r="I1" s="45" t="s">
        <v>34</v>
      </c>
      <c r="J1" s="22"/>
      <c r="K1" s="22"/>
      <c r="L1" s="20"/>
      <c r="M1" s="46" t="s">
        <v>35</v>
      </c>
      <c r="N1" s="47"/>
      <c r="O1" s="47"/>
      <c r="P1" s="47"/>
      <c r="Q1" s="47"/>
      <c r="R1" s="47"/>
      <c r="S1" s="48"/>
      <c r="T1" s="49"/>
      <c r="U1" s="49"/>
      <c r="V1" s="49"/>
      <c r="W1" s="50"/>
      <c r="X1" s="50"/>
      <c r="Y1" s="50"/>
      <c r="Z1" s="50"/>
    </row>
    <row r="2">
      <c r="A2" s="51"/>
      <c r="B2" s="52"/>
      <c r="C2" s="52"/>
      <c r="D2" s="53" t="s">
        <v>36</v>
      </c>
      <c r="E2" s="53" t="s">
        <v>37</v>
      </c>
      <c r="F2" s="53" t="s">
        <v>38</v>
      </c>
      <c r="G2" s="53" t="s">
        <v>39</v>
      </c>
      <c r="H2" s="53" t="s">
        <v>40</v>
      </c>
      <c r="I2" s="54" t="s">
        <v>41</v>
      </c>
      <c r="J2" s="54" t="s">
        <v>42</v>
      </c>
      <c r="K2" s="54" t="s">
        <v>43</v>
      </c>
      <c r="L2" s="54" t="s">
        <v>44</v>
      </c>
      <c r="M2" s="55" t="s">
        <v>45</v>
      </c>
      <c r="N2" s="55" t="s">
        <v>46</v>
      </c>
      <c r="O2" s="56"/>
      <c r="P2" s="55" t="s">
        <v>47</v>
      </c>
      <c r="Q2" s="55" t="s">
        <v>48</v>
      </c>
      <c r="R2" s="55" t="s">
        <v>49</v>
      </c>
      <c r="S2" s="57" t="s">
        <v>50</v>
      </c>
      <c r="T2" s="50"/>
      <c r="U2" s="50"/>
      <c r="V2" s="50"/>
      <c r="W2" s="50"/>
      <c r="X2" s="50"/>
      <c r="Y2" s="50"/>
      <c r="Z2" s="50"/>
    </row>
    <row r="3">
      <c r="A3" s="14">
        <v>2025.0</v>
      </c>
      <c r="B3" s="58">
        <v>1.0</v>
      </c>
      <c r="C3" s="59"/>
      <c r="D3" s="60">
        <v>262207.0</v>
      </c>
      <c r="E3" s="60">
        <v>14700.0</v>
      </c>
      <c r="F3" s="60">
        <v>2250.0</v>
      </c>
      <c r="G3" s="60">
        <v>137793.0</v>
      </c>
      <c r="H3" s="60">
        <v>800.0</v>
      </c>
      <c r="I3" s="60">
        <v>19475.0</v>
      </c>
      <c r="J3" s="60">
        <v>37515.0</v>
      </c>
      <c r="K3" s="60">
        <v>2506.0</v>
      </c>
      <c r="L3" s="60">
        <v>8620.0</v>
      </c>
      <c r="M3" s="60">
        <v>59.496</v>
      </c>
      <c r="N3" s="60">
        <v>343.554</v>
      </c>
      <c r="O3" s="60"/>
      <c r="P3" s="60">
        <v>403.05</v>
      </c>
      <c r="Q3" s="60">
        <v>59.496</v>
      </c>
      <c r="R3" s="60">
        <v>8.62</v>
      </c>
      <c r="S3" s="60">
        <v>349.634</v>
      </c>
      <c r="U3" s="61" t="s">
        <v>51</v>
      </c>
      <c r="V3" s="61" t="s">
        <v>52</v>
      </c>
      <c r="W3" s="61" t="s">
        <v>53</v>
      </c>
      <c r="X3" s="61" t="s">
        <v>54</v>
      </c>
      <c r="Y3" s="61" t="s">
        <v>55</v>
      </c>
      <c r="Z3" s="61" t="s">
        <v>56</v>
      </c>
    </row>
    <row r="4">
      <c r="A4" s="14">
        <v>2024.0</v>
      </c>
      <c r="B4" s="58">
        <v>12.0</v>
      </c>
      <c r="C4" s="59"/>
      <c r="D4" s="60">
        <v>262207.0</v>
      </c>
      <c r="E4" s="60">
        <v>14700.0</v>
      </c>
      <c r="F4" s="60">
        <v>2250.0</v>
      </c>
      <c r="G4" s="60">
        <v>137793.0</v>
      </c>
      <c r="H4" s="60">
        <v>1000.0</v>
      </c>
      <c r="I4" s="60">
        <v>19475.0</v>
      </c>
      <c r="J4" s="60">
        <v>37515.0</v>
      </c>
      <c r="K4" s="60">
        <v>2508.0</v>
      </c>
      <c r="L4" s="60">
        <v>-27820.0</v>
      </c>
      <c r="M4" s="60">
        <v>59.498</v>
      </c>
      <c r="N4" s="60">
        <v>343.752</v>
      </c>
      <c r="O4" s="60"/>
      <c r="P4" s="60" t="s">
        <v>57</v>
      </c>
      <c r="Q4" s="60">
        <v>491.684</v>
      </c>
      <c r="R4" s="60">
        <v>3.45</v>
      </c>
      <c r="S4" s="60"/>
      <c r="U4" s="62" t="s">
        <v>58</v>
      </c>
      <c r="V4" s="63" t="s">
        <v>59</v>
      </c>
      <c r="W4" s="63" t="s">
        <v>60</v>
      </c>
      <c r="X4" s="63">
        <v>417.95</v>
      </c>
      <c r="Y4" s="63">
        <v>31.678</v>
      </c>
      <c r="Z4" s="63">
        <v>386.272</v>
      </c>
    </row>
    <row r="5">
      <c r="A5" s="32"/>
      <c r="B5" s="32"/>
      <c r="C5" s="32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U5" s="62" t="s">
        <v>61</v>
      </c>
      <c r="V5" s="63" t="s">
        <v>62</v>
      </c>
      <c r="W5" s="63" t="s">
        <v>63</v>
      </c>
      <c r="X5" s="63">
        <v>99.8</v>
      </c>
      <c r="Y5" s="63">
        <v>14.359</v>
      </c>
      <c r="Z5" s="63">
        <v>85.441</v>
      </c>
    </row>
    <row r="6">
      <c r="A6" s="32"/>
      <c r="B6" s="32"/>
      <c r="C6" s="32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</row>
    <row r="7">
      <c r="A7" s="32"/>
      <c r="B7" s="32"/>
      <c r="C7" s="32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</row>
    <row r="8">
      <c r="A8" s="32"/>
      <c r="B8" s="32"/>
      <c r="C8" s="32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</row>
    <row r="9">
      <c r="A9" s="32"/>
      <c r="B9" s="32"/>
      <c r="C9" s="32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</row>
    <row r="10">
      <c r="A10" s="32"/>
      <c r="B10" s="32"/>
      <c r="C10" s="32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</row>
    <row r="11">
      <c r="A11" s="32"/>
      <c r="B11" s="32"/>
      <c r="C11" s="32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</row>
    <row r="12">
      <c r="A12" s="32"/>
      <c r="B12" s="32"/>
      <c r="C12" s="32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</row>
    <row r="13">
      <c r="A13" s="32"/>
      <c r="B13" s="32"/>
      <c r="C13" s="32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</row>
    <row r="14">
      <c r="A14" s="32"/>
      <c r="B14" s="32"/>
      <c r="C14" s="32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</row>
    <row r="15">
      <c r="A15" s="32"/>
      <c r="B15" s="32"/>
      <c r="C15" s="32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</row>
    <row r="16">
      <c r="A16" s="32"/>
      <c r="B16" s="32"/>
      <c r="C16" s="32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</row>
    <row r="17">
      <c r="A17" s="32"/>
      <c r="B17" s="32"/>
      <c r="C17" s="32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</row>
    <row r="18">
      <c r="A18" s="32"/>
      <c r="B18" s="32"/>
      <c r="C18" s="32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</row>
    <row r="19">
      <c r="A19" s="32"/>
      <c r="B19" s="32"/>
      <c r="C19" s="32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</row>
    <row r="20">
      <c r="A20" s="32"/>
      <c r="B20" s="32"/>
      <c r="C20" s="3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</row>
    <row r="21">
      <c r="A21" s="32"/>
      <c r="B21" s="32"/>
      <c r="C21" s="32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</row>
    <row r="22">
      <c r="A22" s="32"/>
      <c r="B22" s="32"/>
      <c r="C22" s="32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</row>
    <row r="23">
      <c r="A23" s="32"/>
      <c r="B23" s="32"/>
      <c r="C23" s="32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</row>
    <row r="24">
      <c r="A24" s="32"/>
      <c r="B24" s="32"/>
      <c r="C24" s="32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</row>
    <row r="25">
      <c r="A25" s="32"/>
      <c r="B25" s="32"/>
      <c r="C25" s="32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</row>
    <row r="26">
      <c r="A26" s="32"/>
      <c r="B26" s="32"/>
      <c r="C26" s="32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</row>
    <row r="27">
      <c r="A27" s="32"/>
      <c r="B27" s="32"/>
      <c r="C27" s="32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</row>
    <row r="28">
      <c r="S28" s="64"/>
    </row>
    <row r="29">
      <c r="S29" s="64"/>
    </row>
    <row r="30">
      <c r="S30" s="64"/>
    </row>
    <row r="31">
      <c r="S31" s="64"/>
    </row>
    <row r="32">
      <c r="S32" s="64"/>
    </row>
    <row r="33">
      <c r="S33" s="64"/>
    </row>
    <row r="34">
      <c r="S34" s="64"/>
    </row>
    <row r="35">
      <c r="S35" s="64"/>
    </row>
    <row r="36">
      <c r="S36" s="64"/>
    </row>
    <row r="37">
      <c r="S37" s="64"/>
    </row>
    <row r="38">
      <c r="S38" s="64"/>
    </row>
    <row r="39">
      <c r="S39" s="64"/>
    </row>
    <row r="40">
      <c r="S40" s="64"/>
    </row>
    <row r="41">
      <c r="S41" s="64"/>
    </row>
    <row r="42">
      <c r="S42" s="64"/>
    </row>
    <row r="43">
      <c r="S43" s="64"/>
    </row>
    <row r="44">
      <c r="S44" s="64"/>
    </row>
    <row r="45">
      <c r="S45" s="64"/>
    </row>
    <row r="46">
      <c r="S46" s="64"/>
    </row>
    <row r="47">
      <c r="S47" s="64"/>
    </row>
    <row r="48">
      <c r="S48" s="64"/>
    </row>
    <row r="49">
      <c r="S49" s="64"/>
    </row>
    <row r="50">
      <c r="S50" s="64"/>
    </row>
    <row r="51">
      <c r="S51" s="64"/>
    </row>
    <row r="52">
      <c r="S52" s="64"/>
    </row>
    <row r="53">
      <c r="S53" s="64"/>
    </row>
    <row r="54">
      <c r="S54" s="64"/>
    </row>
    <row r="55">
      <c r="S55" s="64"/>
    </row>
    <row r="56">
      <c r="S56" s="64"/>
    </row>
    <row r="57">
      <c r="S57" s="64"/>
    </row>
    <row r="58">
      <c r="S58" s="64"/>
    </row>
    <row r="59">
      <c r="S59" s="64"/>
    </row>
    <row r="60">
      <c r="S60" s="64"/>
    </row>
    <row r="61">
      <c r="S61" s="64"/>
    </row>
    <row r="62">
      <c r="S62" s="64"/>
    </row>
    <row r="63">
      <c r="S63" s="64"/>
    </row>
    <row r="64">
      <c r="S64" s="64"/>
    </row>
    <row r="65">
      <c r="S65" s="64"/>
    </row>
    <row r="66">
      <c r="S66" s="64"/>
    </row>
    <row r="67">
      <c r="S67" s="64"/>
    </row>
    <row r="68">
      <c r="S68" s="64"/>
    </row>
    <row r="69">
      <c r="S69" s="64"/>
    </row>
    <row r="70">
      <c r="S70" s="64"/>
    </row>
    <row r="71">
      <c r="S71" s="64"/>
    </row>
    <row r="72">
      <c r="S72" s="64"/>
    </row>
    <row r="73">
      <c r="S73" s="64"/>
    </row>
    <row r="74">
      <c r="S74" s="64"/>
    </row>
    <row r="75">
      <c r="S75" s="64"/>
    </row>
    <row r="76">
      <c r="S76" s="64"/>
    </row>
    <row r="77">
      <c r="S77" s="64"/>
    </row>
    <row r="78">
      <c r="S78" s="64"/>
    </row>
    <row r="79">
      <c r="S79" s="64"/>
    </row>
    <row r="80">
      <c r="S80" s="64"/>
    </row>
    <row r="81">
      <c r="S81" s="64"/>
    </row>
    <row r="82">
      <c r="S82" s="64"/>
    </row>
    <row r="83">
      <c r="S83" s="64"/>
    </row>
    <row r="84">
      <c r="S84" s="64"/>
    </row>
    <row r="85">
      <c r="S85" s="64"/>
    </row>
    <row r="86">
      <c r="S86" s="64"/>
    </row>
    <row r="87">
      <c r="S87" s="64"/>
    </row>
    <row r="88">
      <c r="S88" s="64"/>
    </row>
    <row r="89">
      <c r="S89" s="64"/>
    </row>
    <row r="90">
      <c r="S90" s="64"/>
    </row>
    <row r="91">
      <c r="S91" s="64"/>
    </row>
    <row r="92">
      <c r="S92" s="64"/>
    </row>
    <row r="93">
      <c r="S93" s="64"/>
    </row>
    <row r="94">
      <c r="S94" s="64"/>
    </row>
    <row r="95">
      <c r="S95" s="64"/>
    </row>
    <row r="96">
      <c r="S96" s="64"/>
    </row>
    <row r="97">
      <c r="S97" s="64"/>
    </row>
    <row r="98">
      <c r="S98" s="64"/>
    </row>
    <row r="99">
      <c r="S99" s="64"/>
    </row>
    <row r="100">
      <c r="S100" s="64"/>
    </row>
    <row r="101">
      <c r="S101" s="64"/>
    </row>
    <row r="102">
      <c r="S102" s="64"/>
    </row>
    <row r="103">
      <c r="S103" s="64"/>
    </row>
    <row r="104">
      <c r="S104" s="64"/>
    </row>
    <row r="105">
      <c r="S105" s="64"/>
    </row>
    <row r="106">
      <c r="S106" s="64"/>
    </row>
    <row r="107">
      <c r="S107" s="64"/>
    </row>
    <row r="108">
      <c r="S108" s="64"/>
    </row>
    <row r="109">
      <c r="S109" s="64"/>
    </row>
    <row r="110">
      <c r="S110" s="64"/>
    </row>
    <row r="111">
      <c r="S111" s="64"/>
    </row>
    <row r="112">
      <c r="S112" s="64"/>
    </row>
    <row r="113">
      <c r="S113" s="64"/>
    </row>
    <row r="114">
      <c r="S114" s="64"/>
    </row>
    <row r="115">
      <c r="S115" s="64"/>
    </row>
    <row r="116">
      <c r="S116" s="64"/>
    </row>
    <row r="117">
      <c r="S117" s="64"/>
    </row>
    <row r="118">
      <c r="S118" s="64"/>
    </row>
    <row r="119">
      <c r="S119" s="64"/>
    </row>
    <row r="120">
      <c r="S120" s="64"/>
    </row>
    <row r="121">
      <c r="S121" s="64"/>
    </row>
    <row r="122">
      <c r="S122" s="64"/>
    </row>
    <row r="123">
      <c r="S123" s="64"/>
    </row>
    <row r="124">
      <c r="S124" s="64"/>
    </row>
    <row r="125">
      <c r="S125" s="64"/>
    </row>
    <row r="126">
      <c r="S126" s="64"/>
    </row>
    <row r="127">
      <c r="S127" s="64"/>
    </row>
    <row r="128">
      <c r="S128" s="64"/>
    </row>
    <row r="129">
      <c r="S129" s="64"/>
    </row>
    <row r="130">
      <c r="S130" s="64"/>
    </row>
    <row r="131">
      <c r="S131" s="64"/>
    </row>
    <row r="132">
      <c r="S132" s="64"/>
    </row>
    <row r="133">
      <c r="S133" s="64"/>
    </row>
    <row r="134">
      <c r="S134" s="64"/>
    </row>
    <row r="135">
      <c r="S135" s="64"/>
    </row>
    <row r="136">
      <c r="S136" s="64"/>
    </row>
    <row r="137">
      <c r="S137" s="64"/>
    </row>
    <row r="138">
      <c r="S138" s="64"/>
    </row>
    <row r="139">
      <c r="S139" s="64"/>
    </row>
    <row r="140">
      <c r="S140" s="64"/>
    </row>
    <row r="141">
      <c r="S141" s="64"/>
    </row>
    <row r="142">
      <c r="S142" s="64"/>
    </row>
    <row r="143">
      <c r="S143" s="64"/>
    </row>
    <row r="144">
      <c r="S144" s="64"/>
    </row>
    <row r="145">
      <c r="S145" s="64"/>
    </row>
    <row r="146">
      <c r="S146" s="64"/>
    </row>
    <row r="147">
      <c r="S147" s="64"/>
    </row>
    <row r="148">
      <c r="S148" s="64"/>
    </row>
    <row r="149">
      <c r="S149" s="64"/>
    </row>
    <row r="150">
      <c r="S150" s="64"/>
    </row>
    <row r="151">
      <c r="S151" s="64"/>
    </row>
    <row r="152">
      <c r="S152" s="64"/>
    </row>
    <row r="153">
      <c r="S153" s="64"/>
    </row>
    <row r="154">
      <c r="S154" s="64"/>
    </row>
    <row r="155">
      <c r="S155" s="64"/>
    </row>
    <row r="156">
      <c r="S156" s="64"/>
    </row>
    <row r="157">
      <c r="S157" s="64"/>
    </row>
    <row r="158">
      <c r="S158" s="64"/>
    </row>
    <row r="159">
      <c r="S159" s="64"/>
    </row>
    <row r="160">
      <c r="S160" s="64"/>
    </row>
    <row r="161">
      <c r="S161" s="64"/>
    </row>
    <row r="162">
      <c r="S162" s="64"/>
    </row>
    <row r="163">
      <c r="S163" s="64"/>
    </row>
    <row r="164">
      <c r="S164" s="64"/>
    </row>
    <row r="165">
      <c r="S165" s="64"/>
    </row>
    <row r="166">
      <c r="S166" s="64"/>
    </row>
    <row r="167">
      <c r="S167" s="64"/>
    </row>
    <row r="168">
      <c r="S168" s="64"/>
    </row>
    <row r="169">
      <c r="S169" s="64"/>
    </row>
    <row r="170">
      <c r="S170" s="64"/>
    </row>
    <row r="171">
      <c r="S171" s="64"/>
    </row>
    <row r="172">
      <c r="S172" s="64"/>
    </row>
    <row r="173">
      <c r="S173" s="64"/>
    </row>
    <row r="174">
      <c r="S174" s="64"/>
    </row>
    <row r="175">
      <c r="S175" s="64"/>
    </row>
    <row r="176">
      <c r="S176" s="64"/>
    </row>
    <row r="177">
      <c r="S177" s="64"/>
    </row>
    <row r="178">
      <c r="S178" s="64"/>
    </row>
    <row r="179">
      <c r="S179" s="64"/>
    </row>
    <row r="180">
      <c r="S180" s="64"/>
    </row>
    <row r="181">
      <c r="S181" s="64"/>
    </row>
    <row r="182">
      <c r="S182" s="64"/>
    </row>
    <row r="183">
      <c r="S183" s="64"/>
    </row>
    <row r="184">
      <c r="S184" s="64"/>
    </row>
    <row r="185">
      <c r="S185" s="64"/>
    </row>
    <row r="186">
      <c r="S186" s="64"/>
    </row>
    <row r="187">
      <c r="S187" s="64"/>
    </row>
    <row r="188">
      <c r="S188" s="64"/>
    </row>
    <row r="189">
      <c r="S189" s="64"/>
    </row>
    <row r="190">
      <c r="S190" s="64"/>
    </row>
    <row r="191">
      <c r="S191" s="64"/>
    </row>
    <row r="192">
      <c r="S192" s="64"/>
    </row>
    <row r="193">
      <c r="S193" s="64"/>
    </row>
    <row r="194">
      <c r="S194" s="64"/>
    </row>
    <row r="195">
      <c r="S195" s="64"/>
    </row>
    <row r="196">
      <c r="S196" s="64"/>
    </row>
    <row r="197">
      <c r="S197" s="64"/>
    </row>
    <row r="198">
      <c r="S198" s="64"/>
    </row>
    <row r="199">
      <c r="S199" s="64"/>
    </row>
    <row r="200">
      <c r="S200" s="64"/>
    </row>
    <row r="201">
      <c r="S201" s="64"/>
    </row>
    <row r="202">
      <c r="S202" s="64"/>
    </row>
    <row r="203">
      <c r="S203" s="64"/>
    </row>
    <row r="204">
      <c r="S204" s="64"/>
    </row>
    <row r="205">
      <c r="S205" s="64"/>
    </row>
    <row r="206">
      <c r="S206" s="64"/>
    </row>
    <row r="207">
      <c r="S207" s="64"/>
    </row>
    <row r="208">
      <c r="S208" s="64"/>
    </row>
    <row r="209">
      <c r="S209" s="64"/>
    </row>
    <row r="210">
      <c r="S210" s="64"/>
    </row>
    <row r="211">
      <c r="S211" s="64"/>
    </row>
    <row r="212">
      <c r="S212" s="64"/>
    </row>
    <row r="213">
      <c r="S213" s="64"/>
    </row>
    <row r="214">
      <c r="S214" s="64"/>
    </row>
    <row r="215">
      <c r="S215" s="64"/>
    </row>
    <row r="216">
      <c r="S216" s="64"/>
    </row>
    <row r="217">
      <c r="S217" s="64"/>
    </row>
    <row r="218">
      <c r="S218" s="64"/>
    </row>
    <row r="219">
      <c r="S219" s="64"/>
    </row>
    <row r="220">
      <c r="S220" s="64"/>
    </row>
    <row r="221">
      <c r="S221" s="64"/>
    </row>
    <row r="222">
      <c r="S222" s="64"/>
    </row>
    <row r="223">
      <c r="S223" s="64"/>
    </row>
    <row r="224">
      <c r="S224" s="64"/>
    </row>
    <row r="225">
      <c r="S225" s="64"/>
    </row>
    <row r="226">
      <c r="S226" s="64"/>
    </row>
    <row r="227">
      <c r="S227" s="64"/>
    </row>
    <row r="228">
      <c r="S228" s="64"/>
    </row>
    <row r="229">
      <c r="S229" s="64"/>
    </row>
    <row r="230">
      <c r="S230" s="64"/>
    </row>
    <row r="231">
      <c r="S231" s="64"/>
    </row>
    <row r="232">
      <c r="S232" s="64"/>
    </row>
    <row r="233">
      <c r="S233" s="64"/>
    </row>
    <row r="234">
      <c r="S234" s="64"/>
    </row>
    <row r="235">
      <c r="S235" s="64"/>
    </row>
    <row r="236">
      <c r="S236" s="64"/>
    </row>
    <row r="237">
      <c r="S237" s="64"/>
    </row>
    <row r="238">
      <c r="S238" s="64"/>
    </row>
    <row r="239">
      <c r="S239" s="64"/>
    </row>
    <row r="240">
      <c r="S240" s="64"/>
    </row>
    <row r="241">
      <c r="S241" s="64"/>
    </row>
    <row r="242">
      <c r="S242" s="64"/>
    </row>
    <row r="243">
      <c r="S243" s="64"/>
    </row>
    <row r="244">
      <c r="S244" s="64"/>
    </row>
    <row r="245">
      <c r="S245" s="64"/>
    </row>
    <row r="246">
      <c r="S246" s="64"/>
    </row>
    <row r="247">
      <c r="S247" s="64"/>
    </row>
    <row r="248">
      <c r="S248" s="64"/>
    </row>
    <row r="249">
      <c r="S249" s="64"/>
    </row>
    <row r="250">
      <c r="S250" s="64"/>
    </row>
    <row r="251">
      <c r="S251" s="64"/>
    </row>
    <row r="252">
      <c r="S252" s="64"/>
    </row>
    <row r="253">
      <c r="S253" s="64"/>
    </row>
    <row r="254">
      <c r="S254" s="64"/>
    </row>
    <row r="255">
      <c r="S255" s="64"/>
    </row>
    <row r="256">
      <c r="S256" s="64"/>
    </row>
    <row r="257">
      <c r="S257" s="64"/>
    </row>
    <row r="258">
      <c r="S258" s="64"/>
    </row>
    <row r="259">
      <c r="S259" s="64"/>
    </row>
    <row r="260">
      <c r="S260" s="64"/>
    </row>
    <row r="261">
      <c r="S261" s="64"/>
    </row>
    <row r="262">
      <c r="S262" s="64"/>
    </row>
    <row r="263">
      <c r="S263" s="64"/>
    </row>
    <row r="264">
      <c r="S264" s="64"/>
    </row>
    <row r="265">
      <c r="S265" s="64"/>
    </row>
    <row r="266">
      <c r="S266" s="64"/>
    </row>
    <row r="267">
      <c r="S267" s="64"/>
    </row>
    <row r="268">
      <c r="S268" s="64"/>
    </row>
    <row r="269">
      <c r="S269" s="64"/>
    </row>
    <row r="270">
      <c r="S270" s="64"/>
    </row>
    <row r="271">
      <c r="S271" s="64"/>
    </row>
    <row r="272">
      <c r="S272" s="64"/>
    </row>
    <row r="273">
      <c r="S273" s="64"/>
    </row>
    <row r="274">
      <c r="S274" s="64"/>
    </row>
    <row r="275">
      <c r="S275" s="64"/>
    </row>
    <row r="276">
      <c r="S276" s="64"/>
    </row>
    <row r="277">
      <c r="S277" s="64"/>
    </row>
    <row r="278">
      <c r="S278" s="64"/>
    </row>
    <row r="279">
      <c r="S279" s="64"/>
    </row>
    <row r="280">
      <c r="S280" s="64"/>
    </row>
    <row r="281">
      <c r="S281" s="64"/>
    </row>
    <row r="282">
      <c r="S282" s="64"/>
    </row>
    <row r="283">
      <c r="S283" s="64"/>
    </row>
    <row r="284">
      <c r="S284" s="64"/>
    </row>
    <row r="285">
      <c r="S285" s="64"/>
    </row>
    <row r="286">
      <c r="S286" s="64"/>
    </row>
    <row r="287">
      <c r="S287" s="64"/>
    </row>
    <row r="288">
      <c r="S288" s="64"/>
    </row>
    <row r="289">
      <c r="S289" s="64"/>
    </row>
    <row r="290">
      <c r="S290" s="64"/>
    </row>
    <row r="291">
      <c r="S291" s="64"/>
    </row>
    <row r="292">
      <c r="S292" s="64"/>
    </row>
    <row r="293">
      <c r="S293" s="64"/>
    </row>
    <row r="294">
      <c r="S294" s="64"/>
    </row>
    <row r="295">
      <c r="S295" s="64"/>
    </row>
    <row r="296">
      <c r="S296" s="64"/>
    </row>
    <row r="297">
      <c r="S297" s="64"/>
    </row>
    <row r="298">
      <c r="S298" s="64"/>
    </row>
    <row r="299">
      <c r="S299" s="64"/>
    </row>
    <row r="300">
      <c r="S300" s="64"/>
    </row>
    <row r="301">
      <c r="S301" s="64"/>
    </row>
    <row r="302">
      <c r="S302" s="64"/>
    </row>
    <row r="303">
      <c r="S303" s="64"/>
    </row>
    <row r="304">
      <c r="S304" s="64"/>
    </row>
    <row r="305">
      <c r="S305" s="64"/>
    </row>
    <row r="306">
      <c r="S306" s="64"/>
    </row>
    <row r="307">
      <c r="S307" s="64"/>
    </row>
    <row r="308">
      <c r="S308" s="64"/>
    </row>
    <row r="309">
      <c r="S309" s="64"/>
    </row>
    <row r="310">
      <c r="S310" s="64"/>
    </row>
    <row r="311">
      <c r="S311" s="64"/>
    </row>
    <row r="312">
      <c r="S312" s="64"/>
    </row>
    <row r="313">
      <c r="S313" s="64"/>
    </row>
    <row r="314">
      <c r="S314" s="64"/>
    </row>
    <row r="315">
      <c r="S315" s="64"/>
    </row>
    <row r="316">
      <c r="S316" s="64"/>
    </row>
    <row r="317">
      <c r="S317" s="64"/>
    </row>
    <row r="318">
      <c r="S318" s="64"/>
    </row>
    <row r="319">
      <c r="S319" s="64"/>
    </row>
    <row r="320">
      <c r="S320" s="64"/>
    </row>
    <row r="321">
      <c r="S321" s="64"/>
    </row>
    <row r="322">
      <c r="S322" s="64"/>
    </row>
    <row r="323">
      <c r="S323" s="64"/>
    </row>
    <row r="324">
      <c r="S324" s="64"/>
    </row>
    <row r="325">
      <c r="S325" s="64"/>
    </row>
    <row r="326">
      <c r="S326" s="64"/>
    </row>
    <row r="327">
      <c r="S327" s="64"/>
    </row>
    <row r="328">
      <c r="S328" s="64"/>
    </row>
    <row r="329">
      <c r="S329" s="64"/>
    </row>
    <row r="330">
      <c r="S330" s="64"/>
    </row>
    <row r="331">
      <c r="S331" s="64"/>
    </row>
    <row r="332">
      <c r="S332" s="64"/>
    </row>
    <row r="333">
      <c r="S333" s="64"/>
    </row>
    <row r="334">
      <c r="S334" s="64"/>
    </row>
    <row r="335">
      <c r="S335" s="64"/>
    </row>
    <row r="336">
      <c r="S336" s="64"/>
    </row>
    <row r="337">
      <c r="S337" s="64"/>
    </row>
    <row r="338">
      <c r="S338" s="64"/>
    </row>
    <row r="339">
      <c r="S339" s="64"/>
    </row>
    <row r="340">
      <c r="S340" s="64"/>
    </row>
    <row r="341">
      <c r="S341" s="64"/>
    </row>
    <row r="342">
      <c r="S342" s="64"/>
    </row>
    <row r="343">
      <c r="S343" s="64"/>
    </row>
    <row r="344">
      <c r="S344" s="64"/>
    </row>
    <row r="345">
      <c r="S345" s="64"/>
    </row>
    <row r="346">
      <c r="S346" s="64"/>
    </row>
    <row r="347">
      <c r="S347" s="64"/>
    </row>
    <row r="348">
      <c r="S348" s="64"/>
    </row>
    <row r="349">
      <c r="S349" s="64"/>
    </row>
    <row r="350">
      <c r="S350" s="64"/>
    </row>
    <row r="351">
      <c r="S351" s="64"/>
    </row>
    <row r="352">
      <c r="S352" s="64"/>
    </row>
    <row r="353">
      <c r="S353" s="64"/>
    </row>
    <row r="354">
      <c r="S354" s="64"/>
    </row>
    <row r="355">
      <c r="S355" s="64"/>
    </row>
    <row r="356">
      <c r="S356" s="64"/>
    </row>
    <row r="357">
      <c r="S357" s="64"/>
    </row>
    <row r="358">
      <c r="S358" s="64"/>
    </row>
    <row r="359">
      <c r="S359" s="64"/>
    </row>
    <row r="360">
      <c r="S360" s="64"/>
    </row>
    <row r="361">
      <c r="S361" s="64"/>
    </row>
    <row r="362">
      <c r="S362" s="64"/>
    </row>
    <row r="363">
      <c r="S363" s="64"/>
    </row>
    <row r="364">
      <c r="S364" s="64"/>
    </row>
    <row r="365">
      <c r="S365" s="64"/>
    </row>
    <row r="366">
      <c r="S366" s="64"/>
    </row>
    <row r="367">
      <c r="S367" s="64"/>
    </row>
    <row r="368">
      <c r="S368" s="64"/>
    </row>
    <row r="369">
      <c r="S369" s="64"/>
    </row>
    <row r="370">
      <c r="S370" s="64"/>
    </row>
    <row r="371">
      <c r="S371" s="64"/>
    </row>
    <row r="372">
      <c r="S372" s="64"/>
    </row>
    <row r="373">
      <c r="S373" s="64"/>
    </row>
    <row r="374">
      <c r="S374" s="64"/>
    </row>
    <row r="375">
      <c r="S375" s="64"/>
    </row>
    <row r="376">
      <c r="S376" s="64"/>
    </row>
    <row r="377">
      <c r="S377" s="64"/>
    </row>
    <row r="378">
      <c r="S378" s="64"/>
    </row>
    <row r="379">
      <c r="S379" s="64"/>
    </row>
    <row r="380">
      <c r="S380" s="64"/>
    </row>
    <row r="381">
      <c r="S381" s="64"/>
    </row>
    <row r="382">
      <c r="S382" s="64"/>
    </row>
    <row r="383">
      <c r="S383" s="64"/>
    </row>
    <row r="384">
      <c r="S384" s="64"/>
    </row>
    <row r="385">
      <c r="S385" s="64"/>
    </row>
    <row r="386">
      <c r="S386" s="64"/>
    </row>
    <row r="387">
      <c r="S387" s="64"/>
    </row>
    <row r="388">
      <c r="S388" s="64"/>
    </row>
    <row r="389">
      <c r="S389" s="64"/>
    </row>
    <row r="390">
      <c r="S390" s="64"/>
    </row>
    <row r="391">
      <c r="S391" s="64"/>
    </row>
    <row r="392">
      <c r="S392" s="64"/>
    </row>
    <row r="393">
      <c r="S393" s="64"/>
    </row>
    <row r="394">
      <c r="S394" s="64"/>
    </row>
    <row r="395">
      <c r="S395" s="64"/>
    </row>
    <row r="396">
      <c r="S396" s="64"/>
    </row>
    <row r="397">
      <c r="S397" s="64"/>
    </row>
    <row r="398">
      <c r="S398" s="64"/>
    </row>
    <row r="399">
      <c r="S399" s="64"/>
    </row>
    <row r="400">
      <c r="S400" s="64"/>
    </row>
    <row r="401">
      <c r="S401" s="64"/>
    </row>
    <row r="402">
      <c r="S402" s="64"/>
    </row>
    <row r="403">
      <c r="S403" s="64"/>
    </row>
    <row r="404">
      <c r="S404" s="64"/>
    </row>
    <row r="405">
      <c r="S405" s="64"/>
    </row>
    <row r="406">
      <c r="S406" s="64"/>
    </row>
    <row r="407">
      <c r="S407" s="64"/>
    </row>
    <row r="408">
      <c r="S408" s="64"/>
    </row>
    <row r="409">
      <c r="S409" s="64"/>
    </row>
    <row r="410">
      <c r="S410" s="64"/>
    </row>
    <row r="411">
      <c r="S411" s="64"/>
    </row>
    <row r="412">
      <c r="S412" s="64"/>
    </row>
    <row r="413">
      <c r="S413" s="64"/>
    </row>
    <row r="414">
      <c r="S414" s="64"/>
    </row>
    <row r="415">
      <c r="S415" s="64"/>
    </row>
    <row r="416">
      <c r="S416" s="64"/>
    </row>
    <row r="417">
      <c r="S417" s="64"/>
    </row>
    <row r="418">
      <c r="S418" s="64"/>
    </row>
    <row r="419">
      <c r="S419" s="64"/>
    </row>
    <row r="420">
      <c r="S420" s="64"/>
    </row>
    <row r="421">
      <c r="S421" s="64"/>
    </row>
    <row r="422">
      <c r="S422" s="64"/>
    </row>
    <row r="423">
      <c r="S423" s="64"/>
    </row>
    <row r="424">
      <c r="S424" s="64"/>
    </row>
    <row r="425">
      <c r="S425" s="64"/>
    </row>
    <row r="426">
      <c r="S426" s="64"/>
    </row>
    <row r="427">
      <c r="S427" s="64"/>
    </row>
    <row r="428">
      <c r="S428" s="64"/>
    </row>
    <row r="429">
      <c r="S429" s="64"/>
    </row>
    <row r="430">
      <c r="S430" s="64"/>
    </row>
    <row r="431">
      <c r="S431" s="64"/>
    </row>
    <row r="432">
      <c r="S432" s="64"/>
    </row>
    <row r="433">
      <c r="S433" s="64"/>
    </row>
    <row r="434">
      <c r="S434" s="64"/>
    </row>
    <row r="435">
      <c r="S435" s="64"/>
    </row>
    <row r="436">
      <c r="S436" s="64"/>
    </row>
    <row r="437">
      <c r="S437" s="64"/>
    </row>
    <row r="438">
      <c r="S438" s="64"/>
    </row>
    <row r="439">
      <c r="S439" s="64"/>
    </row>
    <row r="440">
      <c r="S440" s="64"/>
    </row>
    <row r="441">
      <c r="S441" s="64"/>
    </row>
    <row r="442">
      <c r="S442" s="64"/>
    </row>
    <row r="443">
      <c r="S443" s="64"/>
    </row>
    <row r="444">
      <c r="S444" s="64"/>
    </row>
    <row r="445">
      <c r="S445" s="64"/>
    </row>
    <row r="446">
      <c r="S446" s="64"/>
    </row>
    <row r="447">
      <c r="S447" s="64"/>
    </row>
    <row r="448">
      <c r="S448" s="64"/>
    </row>
    <row r="449">
      <c r="S449" s="64"/>
    </row>
    <row r="450">
      <c r="S450" s="64"/>
    </row>
    <row r="451">
      <c r="S451" s="64"/>
    </row>
    <row r="452">
      <c r="S452" s="64"/>
    </row>
    <row r="453">
      <c r="S453" s="64"/>
    </row>
    <row r="454">
      <c r="S454" s="64"/>
    </row>
    <row r="455">
      <c r="S455" s="64"/>
    </row>
    <row r="456">
      <c r="S456" s="64"/>
    </row>
    <row r="457">
      <c r="S457" s="64"/>
    </row>
    <row r="458">
      <c r="S458" s="64"/>
    </row>
    <row r="459">
      <c r="S459" s="64"/>
    </row>
    <row r="460">
      <c r="S460" s="64"/>
    </row>
    <row r="461">
      <c r="S461" s="64"/>
    </row>
    <row r="462">
      <c r="S462" s="64"/>
    </row>
    <row r="463">
      <c r="S463" s="64"/>
    </row>
    <row r="464">
      <c r="S464" s="64"/>
    </row>
    <row r="465">
      <c r="S465" s="64"/>
    </row>
    <row r="466">
      <c r="S466" s="64"/>
    </row>
    <row r="467">
      <c r="S467" s="64"/>
    </row>
    <row r="468">
      <c r="S468" s="64"/>
    </row>
    <row r="469">
      <c r="S469" s="64"/>
    </row>
    <row r="470">
      <c r="S470" s="64"/>
    </row>
    <row r="471">
      <c r="S471" s="64"/>
    </row>
    <row r="472">
      <c r="S472" s="64"/>
    </row>
    <row r="473">
      <c r="S473" s="64"/>
    </row>
    <row r="474">
      <c r="S474" s="64"/>
    </row>
    <row r="475">
      <c r="S475" s="64"/>
    </row>
    <row r="476">
      <c r="S476" s="64"/>
    </row>
    <row r="477">
      <c r="S477" s="64"/>
    </row>
    <row r="478">
      <c r="S478" s="64"/>
    </row>
    <row r="479">
      <c r="S479" s="64"/>
    </row>
    <row r="480">
      <c r="S480" s="64"/>
    </row>
    <row r="481">
      <c r="S481" s="64"/>
    </row>
    <row r="482">
      <c r="S482" s="64"/>
    </row>
    <row r="483">
      <c r="S483" s="64"/>
    </row>
    <row r="484">
      <c r="S484" s="64"/>
    </row>
    <row r="485">
      <c r="S485" s="64"/>
    </row>
    <row r="486">
      <c r="S486" s="64"/>
    </row>
    <row r="487">
      <c r="S487" s="64"/>
    </row>
    <row r="488">
      <c r="S488" s="64"/>
    </row>
    <row r="489">
      <c r="S489" s="64"/>
    </row>
    <row r="490">
      <c r="S490" s="64"/>
    </row>
    <row r="491">
      <c r="S491" s="64"/>
    </row>
    <row r="492">
      <c r="S492" s="64"/>
    </row>
    <row r="493">
      <c r="S493" s="64"/>
    </row>
    <row r="494">
      <c r="S494" s="64"/>
    </row>
    <row r="495">
      <c r="S495" s="64"/>
    </row>
    <row r="496">
      <c r="S496" s="64"/>
    </row>
    <row r="497">
      <c r="S497" s="64"/>
    </row>
    <row r="498">
      <c r="S498" s="64"/>
    </row>
    <row r="499">
      <c r="S499" s="64"/>
    </row>
    <row r="500">
      <c r="S500" s="64"/>
    </row>
    <row r="501">
      <c r="S501" s="64"/>
    </row>
    <row r="502">
      <c r="S502" s="64"/>
    </row>
    <row r="503">
      <c r="S503" s="64"/>
    </row>
    <row r="504">
      <c r="S504" s="64"/>
    </row>
    <row r="505">
      <c r="S505" s="64"/>
    </row>
    <row r="506">
      <c r="S506" s="64"/>
    </row>
    <row r="507">
      <c r="S507" s="64"/>
    </row>
    <row r="508">
      <c r="S508" s="64"/>
    </row>
    <row r="509">
      <c r="S509" s="64"/>
    </row>
    <row r="510">
      <c r="S510" s="64"/>
    </row>
    <row r="511">
      <c r="S511" s="64"/>
    </row>
    <row r="512">
      <c r="S512" s="64"/>
    </row>
    <row r="513">
      <c r="S513" s="64"/>
    </row>
    <row r="514">
      <c r="S514" s="64"/>
    </row>
    <row r="515">
      <c r="S515" s="64"/>
    </row>
    <row r="516">
      <c r="S516" s="64"/>
    </row>
    <row r="517">
      <c r="S517" s="64"/>
    </row>
    <row r="518">
      <c r="S518" s="64"/>
    </row>
    <row r="519">
      <c r="S519" s="64"/>
    </row>
    <row r="520">
      <c r="S520" s="64"/>
    </row>
    <row r="521">
      <c r="S521" s="64"/>
    </row>
    <row r="522">
      <c r="S522" s="64"/>
    </row>
    <row r="523">
      <c r="S523" s="64"/>
    </row>
    <row r="524">
      <c r="S524" s="64"/>
    </row>
    <row r="525">
      <c r="S525" s="64"/>
    </row>
    <row r="526">
      <c r="S526" s="64"/>
    </row>
    <row r="527">
      <c r="S527" s="64"/>
    </row>
    <row r="528">
      <c r="S528" s="64"/>
    </row>
    <row r="529">
      <c r="S529" s="64"/>
    </row>
    <row r="530">
      <c r="S530" s="64"/>
    </row>
    <row r="531">
      <c r="S531" s="64"/>
    </row>
    <row r="532">
      <c r="S532" s="64"/>
    </row>
    <row r="533">
      <c r="S533" s="64"/>
    </row>
    <row r="534">
      <c r="S534" s="64"/>
    </row>
    <row r="535">
      <c r="S535" s="64"/>
    </row>
    <row r="536">
      <c r="S536" s="64"/>
    </row>
    <row r="537">
      <c r="S537" s="64"/>
    </row>
    <row r="538">
      <c r="S538" s="64"/>
    </row>
    <row r="539">
      <c r="S539" s="64"/>
    </row>
    <row r="540">
      <c r="S540" s="64"/>
    </row>
    <row r="541">
      <c r="S541" s="64"/>
    </row>
    <row r="542">
      <c r="S542" s="64"/>
    </row>
    <row r="543">
      <c r="S543" s="64"/>
    </row>
    <row r="544">
      <c r="S544" s="64"/>
    </row>
    <row r="545">
      <c r="S545" s="64"/>
    </row>
    <row r="546">
      <c r="S546" s="64"/>
    </row>
    <row r="547">
      <c r="S547" s="64"/>
    </row>
    <row r="548">
      <c r="S548" s="64"/>
    </row>
    <row r="549">
      <c r="S549" s="64"/>
    </row>
    <row r="550">
      <c r="S550" s="64"/>
    </row>
    <row r="551">
      <c r="S551" s="64"/>
    </row>
    <row r="552">
      <c r="S552" s="64"/>
    </row>
    <row r="553">
      <c r="S553" s="64"/>
    </row>
    <row r="554">
      <c r="S554" s="64"/>
    </row>
    <row r="555">
      <c r="S555" s="64"/>
    </row>
    <row r="556">
      <c r="S556" s="64"/>
    </row>
    <row r="557">
      <c r="S557" s="64"/>
    </row>
    <row r="558">
      <c r="S558" s="64"/>
    </row>
    <row r="559">
      <c r="S559" s="64"/>
    </row>
    <row r="560">
      <c r="S560" s="64"/>
    </row>
    <row r="561">
      <c r="S561" s="64"/>
    </row>
    <row r="562">
      <c r="S562" s="64"/>
    </row>
    <row r="563">
      <c r="S563" s="64"/>
    </row>
    <row r="564">
      <c r="S564" s="64"/>
    </row>
    <row r="565">
      <c r="S565" s="64"/>
    </row>
    <row r="566">
      <c r="S566" s="64"/>
    </row>
    <row r="567">
      <c r="S567" s="64"/>
    </row>
    <row r="568">
      <c r="S568" s="64"/>
    </row>
    <row r="569">
      <c r="S569" s="64"/>
    </row>
    <row r="570">
      <c r="S570" s="64"/>
    </row>
    <row r="571">
      <c r="S571" s="64"/>
    </row>
    <row r="572">
      <c r="S572" s="64"/>
    </row>
    <row r="573">
      <c r="S573" s="64"/>
    </row>
    <row r="574">
      <c r="S574" s="64"/>
    </row>
    <row r="575">
      <c r="S575" s="64"/>
    </row>
    <row r="576">
      <c r="S576" s="64"/>
    </row>
    <row r="577">
      <c r="S577" s="64"/>
    </row>
    <row r="578">
      <c r="S578" s="64"/>
    </row>
    <row r="579">
      <c r="S579" s="64"/>
    </row>
    <row r="580">
      <c r="S580" s="64"/>
    </row>
    <row r="581">
      <c r="S581" s="64"/>
    </row>
    <row r="582">
      <c r="S582" s="64"/>
    </row>
    <row r="583">
      <c r="S583" s="64"/>
    </row>
    <row r="584">
      <c r="S584" s="64"/>
    </row>
    <row r="585">
      <c r="S585" s="64"/>
    </row>
    <row r="586">
      <c r="S586" s="64"/>
    </row>
    <row r="587">
      <c r="S587" s="64"/>
    </row>
    <row r="588">
      <c r="S588" s="64"/>
    </row>
    <row r="589">
      <c r="S589" s="64"/>
    </row>
    <row r="590">
      <c r="S590" s="64"/>
    </row>
    <row r="591">
      <c r="S591" s="64"/>
    </row>
    <row r="592">
      <c r="S592" s="64"/>
    </row>
    <row r="593">
      <c r="S593" s="64"/>
    </row>
    <row r="594">
      <c r="S594" s="64"/>
    </row>
    <row r="595">
      <c r="S595" s="64"/>
    </row>
    <row r="596">
      <c r="S596" s="64"/>
    </row>
    <row r="597">
      <c r="S597" s="64"/>
    </row>
    <row r="598">
      <c r="S598" s="64"/>
    </row>
    <row r="599">
      <c r="S599" s="64"/>
    </row>
    <row r="600">
      <c r="S600" s="64"/>
    </row>
    <row r="601">
      <c r="S601" s="64"/>
    </row>
    <row r="602">
      <c r="S602" s="64"/>
    </row>
    <row r="603">
      <c r="S603" s="64"/>
    </row>
    <row r="604">
      <c r="S604" s="64"/>
    </row>
    <row r="605">
      <c r="S605" s="64"/>
    </row>
    <row r="606">
      <c r="S606" s="64"/>
    </row>
    <row r="607">
      <c r="S607" s="64"/>
    </row>
    <row r="608">
      <c r="S608" s="64"/>
    </row>
    <row r="609">
      <c r="S609" s="64"/>
    </row>
    <row r="610">
      <c r="S610" s="64"/>
    </row>
    <row r="611">
      <c r="S611" s="64"/>
    </row>
    <row r="612">
      <c r="S612" s="64"/>
    </row>
    <row r="613">
      <c r="S613" s="64"/>
    </row>
    <row r="614">
      <c r="S614" s="64"/>
    </row>
    <row r="615">
      <c r="S615" s="64"/>
    </row>
    <row r="616">
      <c r="S616" s="64"/>
    </row>
    <row r="617">
      <c r="S617" s="64"/>
    </row>
    <row r="618">
      <c r="S618" s="64"/>
    </row>
    <row r="619">
      <c r="S619" s="64"/>
    </row>
    <row r="620">
      <c r="S620" s="64"/>
    </row>
    <row r="621">
      <c r="S621" s="64"/>
    </row>
    <row r="622">
      <c r="S622" s="64"/>
    </row>
    <row r="623">
      <c r="S623" s="64"/>
    </row>
    <row r="624">
      <c r="S624" s="64"/>
    </row>
    <row r="625">
      <c r="S625" s="64"/>
    </row>
    <row r="626">
      <c r="S626" s="64"/>
    </row>
    <row r="627">
      <c r="S627" s="64"/>
    </row>
    <row r="628">
      <c r="S628" s="64"/>
    </row>
    <row r="629">
      <c r="S629" s="64"/>
    </row>
    <row r="630">
      <c r="S630" s="64"/>
    </row>
    <row r="631">
      <c r="S631" s="64"/>
    </row>
    <row r="632">
      <c r="S632" s="64"/>
    </row>
    <row r="633">
      <c r="S633" s="64"/>
    </row>
    <row r="634">
      <c r="S634" s="64"/>
    </row>
    <row r="635">
      <c r="S635" s="64"/>
    </row>
    <row r="636">
      <c r="S636" s="64"/>
    </row>
    <row r="637">
      <c r="S637" s="64"/>
    </row>
    <row r="638">
      <c r="S638" s="64"/>
    </row>
    <row r="639">
      <c r="S639" s="64"/>
    </row>
    <row r="640">
      <c r="S640" s="64"/>
    </row>
    <row r="641">
      <c r="S641" s="64"/>
    </row>
    <row r="642">
      <c r="S642" s="64"/>
    </row>
    <row r="643">
      <c r="S643" s="64"/>
    </row>
    <row r="644">
      <c r="S644" s="64"/>
    </row>
    <row r="645">
      <c r="S645" s="64"/>
    </row>
    <row r="646">
      <c r="S646" s="64"/>
    </row>
    <row r="647">
      <c r="S647" s="64"/>
    </row>
    <row r="648">
      <c r="S648" s="64"/>
    </row>
    <row r="649">
      <c r="S649" s="64"/>
    </row>
    <row r="650">
      <c r="S650" s="64"/>
    </row>
    <row r="651">
      <c r="S651" s="64"/>
    </row>
    <row r="652">
      <c r="S652" s="64"/>
    </row>
    <row r="653">
      <c r="S653" s="64"/>
    </row>
    <row r="654">
      <c r="S654" s="64"/>
    </row>
    <row r="655">
      <c r="S655" s="64"/>
    </row>
    <row r="656">
      <c r="S656" s="64"/>
    </row>
    <row r="657">
      <c r="S657" s="64"/>
    </row>
    <row r="658">
      <c r="S658" s="64"/>
    </row>
    <row r="659">
      <c r="S659" s="64"/>
    </row>
    <row r="660">
      <c r="S660" s="64"/>
    </row>
    <row r="661">
      <c r="S661" s="64"/>
    </row>
    <row r="662">
      <c r="S662" s="64"/>
    </row>
    <row r="663">
      <c r="S663" s="64"/>
    </row>
    <row r="664">
      <c r="S664" s="64"/>
    </row>
    <row r="665">
      <c r="S665" s="64"/>
    </row>
    <row r="666">
      <c r="S666" s="64"/>
    </row>
    <row r="667">
      <c r="S667" s="64"/>
    </row>
    <row r="668">
      <c r="S668" s="64"/>
    </row>
    <row r="669">
      <c r="S669" s="64"/>
    </row>
    <row r="670">
      <c r="S670" s="64"/>
    </row>
    <row r="671">
      <c r="S671" s="64"/>
    </row>
    <row r="672">
      <c r="S672" s="64"/>
    </row>
    <row r="673">
      <c r="S673" s="64"/>
    </row>
    <row r="674">
      <c r="S674" s="64"/>
    </row>
    <row r="675">
      <c r="S675" s="64"/>
    </row>
    <row r="676">
      <c r="S676" s="64"/>
    </row>
    <row r="677">
      <c r="S677" s="64"/>
    </row>
    <row r="678">
      <c r="S678" s="64"/>
    </row>
    <row r="679">
      <c r="S679" s="64"/>
    </row>
    <row r="680">
      <c r="S680" s="64"/>
    </row>
    <row r="681">
      <c r="S681" s="64"/>
    </row>
    <row r="682">
      <c r="S682" s="64"/>
    </row>
    <row r="683">
      <c r="S683" s="64"/>
    </row>
    <row r="684">
      <c r="S684" s="64"/>
    </row>
    <row r="685">
      <c r="S685" s="64"/>
    </row>
    <row r="686">
      <c r="S686" s="64"/>
    </row>
    <row r="687">
      <c r="S687" s="64"/>
    </row>
    <row r="688">
      <c r="S688" s="64"/>
    </row>
    <row r="689">
      <c r="S689" s="64"/>
    </row>
    <row r="690">
      <c r="S690" s="64"/>
    </row>
    <row r="691">
      <c r="S691" s="64"/>
    </row>
    <row r="692">
      <c r="S692" s="64"/>
    </row>
    <row r="693">
      <c r="S693" s="64"/>
    </row>
    <row r="694">
      <c r="S694" s="64"/>
    </row>
    <row r="695">
      <c r="S695" s="64"/>
    </row>
    <row r="696">
      <c r="S696" s="64"/>
    </row>
    <row r="697">
      <c r="S697" s="64"/>
    </row>
    <row r="698">
      <c r="S698" s="64"/>
    </row>
    <row r="699">
      <c r="S699" s="64"/>
    </row>
    <row r="700">
      <c r="S700" s="64"/>
    </row>
    <row r="701">
      <c r="S701" s="64"/>
    </row>
    <row r="702">
      <c r="S702" s="64"/>
    </row>
    <row r="703">
      <c r="S703" s="64"/>
    </row>
    <row r="704">
      <c r="S704" s="64"/>
    </row>
    <row r="705">
      <c r="S705" s="64"/>
    </row>
    <row r="706">
      <c r="S706" s="64"/>
    </row>
    <row r="707">
      <c r="S707" s="64"/>
    </row>
    <row r="708">
      <c r="S708" s="64"/>
    </row>
    <row r="709">
      <c r="S709" s="64"/>
    </row>
    <row r="710">
      <c r="S710" s="64"/>
    </row>
    <row r="711">
      <c r="S711" s="64"/>
    </row>
    <row r="712">
      <c r="S712" s="64"/>
    </row>
    <row r="713">
      <c r="S713" s="64"/>
    </row>
    <row r="714">
      <c r="S714" s="64"/>
    </row>
    <row r="715">
      <c r="S715" s="64"/>
    </row>
    <row r="716">
      <c r="S716" s="64"/>
    </row>
    <row r="717">
      <c r="S717" s="64"/>
    </row>
    <row r="718">
      <c r="S718" s="64"/>
    </row>
    <row r="719">
      <c r="S719" s="64"/>
    </row>
    <row r="720">
      <c r="S720" s="64"/>
    </row>
    <row r="721">
      <c r="S721" s="64"/>
    </row>
    <row r="722">
      <c r="S722" s="64"/>
    </row>
    <row r="723">
      <c r="S723" s="64"/>
    </row>
    <row r="724">
      <c r="S724" s="64"/>
    </row>
    <row r="725">
      <c r="S725" s="64"/>
    </row>
    <row r="726">
      <c r="S726" s="64"/>
    </row>
    <row r="727">
      <c r="S727" s="64"/>
    </row>
    <row r="728">
      <c r="S728" s="64"/>
    </row>
    <row r="729">
      <c r="S729" s="64"/>
    </row>
    <row r="730">
      <c r="S730" s="64"/>
    </row>
    <row r="731">
      <c r="S731" s="64"/>
    </row>
    <row r="732">
      <c r="S732" s="64"/>
    </row>
    <row r="733">
      <c r="S733" s="64"/>
    </row>
    <row r="734">
      <c r="S734" s="64"/>
    </row>
    <row r="735">
      <c r="S735" s="64"/>
    </row>
    <row r="736">
      <c r="S736" s="64"/>
    </row>
    <row r="737">
      <c r="S737" s="64"/>
    </row>
    <row r="738">
      <c r="S738" s="64"/>
    </row>
    <row r="739">
      <c r="S739" s="64"/>
    </row>
    <row r="740">
      <c r="S740" s="64"/>
    </row>
    <row r="741">
      <c r="S741" s="64"/>
    </row>
    <row r="742">
      <c r="S742" s="64"/>
    </row>
    <row r="743">
      <c r="S743" s="64"/>
    </row>
    <row r="744">
      <c r="S744" s="64"/>
    </row>
    <row r="745">
      <c r="S745" s="64"/>
    </row>
    <row r="746">
      <c r="S746" s="64"/>
    </row>
    <row r="747">
      <c r="S747" s="64"/>
    </row>
    <row r="748">
      <c r="S748" s="64"/>
    </row>
    <row r="749">
      <c r="S749" s="64"/>
    </row>
    <row r="750">
      <c r="S750" s="64"/>
    </row>
    <row r="751">
      <c r="S751" s="64"/>
    </row>
    <row r="752">
      <c r="S752" s="64"/>
    </row>
    <row r="753">
      <c r="S753" s="64"/>
    </row>
    <row r="754">
      <c r="S754" s="64"/>
    </row>
    <row r="755">
      <c r="S755" s="64"/>
    </row>
    <row r="756">
      <c r="S756" s="64"/>
    </row>
    <row r="757">
      <c r="S757" s="64"/>
    </row>
    <row r="758">
      <c r="S758" s="64"/>
    </row>
    <row r="759">
      <c r="S759" s="64"/>
    </row>
    <row r="760">
      <c r="S760" s="64"/>
    </row>
    <row r="761">
      <c r="S761" s="64"/>
    </row>
    <row r="762">
      <c r="S762" s="64"/>
    </row>
    <row r="763">
      <c r="S763" s="64"/>
    </row>
    <row r="764">
      <c r="S764" s="64"/>
    </row>
    <row r="765">
      <c r="S765" s="64"/>
    </row>
    <row r="766">
      <c r="S766" s="64"/>
    </row>
    <row r="767">
      <c r="S767" s="64"/>
    </row>
    <row r="768">
      <c r="S768" s="64"/>
    </row>
    <row r="769">
      <c r="S769" s="64"/>
    </row>
    <row r="770">
      <c r="S770" s="64"/>
    </row>
    <row r="771">
      <c r="S771" s="64"/>
    </row>
    <row r="772">
      <c r="S772" s="64"/>
    </row>
    <row r="773">
      <c r="S773" s="64"/>
    </row>
    <row r="774">
      <c r="S774" s="64"/>
    </row>
    <row r="775">
      <c r="S775" s="64"/>
    </row>
    <row r="776">
      <c r="S776" s="64"/>
    </row>
    <row r="777">
      <c r="S777" s="64"/>
    </row>
    <row r="778">
      <c r="S778" s="64"/>
    </row>
    <row r="779">
      <c r="S779" s="64"/>
    </row>
    <row r="780">
      <c r="S780" s="64"/>
    </row>
    <row r="781">
      <c r="S781" s="64"/>
    </row>
    <row r="782">
      <c r="S782" s="64"/>
    </row>
    <row r="783">
      <c r="S783" s="64"/>
    </row>
    <row r="784">
      <c r="S784" s="64"/>
    </row>
    <row r="785">
      <c r="S785" s="64"/>
    </row>
    <row r="786">
      <c r="S786" s="64"/>
    </row>
    <row r="787">
      <c r="S787" s="64"/>
    </row>
    <row r="788">
      <c r="S788" s="64"/>
    </row>
    <row r="789">
      <c r="S789" s="64"/>
    </row>
    <row r="790">
      <c r="S790" s="64"/>
    </row>
    <row r="791">
      <c r="S791" s="64"/>
    </row>
    <row r="792">
      <c r="S792" s="64"/>
    </row>
    <row r="793">
      <c r="S793" s="64"/>
    </row>
    <row r="794">
      <c r="S794" s="64"/>
    </row>
    <row r="795">
      <c r="S795" s="64"/>
    </row>
    <row r="796">
      <c r="S796" s="64"/>
    </row>
    <row r="797">
      <c r="S797" s="64"/>
    </row>
    <row r="798">
      <c r="S798" s="64"/>
    </row>
    <row r="799">
      <c r="S799" s="64"/>
    </row>
    <row r="800">
      <c r="S800" s="64"/>
    </row>
    <row r="801">
      <c r="S801" s="64"/>
    </row>
    <row r="802">
      <c r="S802" s="64"/>
    </row>
    <row r="803">
      <c r="S803" s="64"/>
    </row>
    <row r="804">
      <c r="S804" s="64"/>
    </row>
    <row r="805">
      <c r="S805" s="64"/>
    </row>
    <row r="806">
      <c r="S806" s="64"/>
    </row>
    <row r="807">
      <c r="S807" s="64"/>
    </row>
    <row r="808">
      <c r="S808" s="64"/>
    </row>
    <row r="809">
      <c r="S809" s="64"/>
    </row>
    <row r="810">
      <c r="S810" s="64"/>
    </row>
    <row r="811">
      <c r="S811" s="64"/>
    </row>
    <row r="812">
      <c r="S812" s="64"/>
    </row>
    <row r="813">
      <c r="S813" s="64"/>
    </row>
    <row r="814">
      <c r="S814" s="64"/>
    </row>
    <row r="815">
      <c r="S815" s="64"/>
    </row>
    <row r="816">
      <c r="S816" s="64"/>
    </row>
    <row r="817">
      <c r="S817" s="64"/>
    </row>
    <row r="818">
      <c r="S818" s="64"/>
    </row>
    <row r="819">
      <c r="S819" s="64"/>
    </row>
    <row r="820">
      <c r="S820" s="64"/>
    </row>
    <row r="821">
      <c r="S821" s="64"/>
    </row>
    <row r="822">
      <c r="S822" s="64"/>
    </row>
    <row r="823">
      <c r="S823" s="64"/>
    </row>
    <row r="824">
      <c r="S824" s="64"/>
    </row>
    <row r="825">
      <c r="S825" s="64"/>
    </row>
    <row r="826">
      <c r="S826" s="64"/>
    </row>
    <row r="827">
      <c r="S827" s="64"/>
    </row>
    <row r="828">
      <c r="S828" s="64"/>
    </row>
    <row r="829">
      <c r="S829" s="64"/>
    </row>
    <row r="830">
      <c r="S830" s="64"/>
    </row>
    <row r="831">
      <c r="S831" s="64"/>
    </row>
    <row r="832">
      <c r="S832" s="64"/>
    </row>
    <row r="833">
      <c r="S833" s="64"/>
    </row>
    <row r="834">
      <c r="S834" s="64"/>
    </row>
    <row r="835">
      <c r="S835" s="64"/>
    </row>
    <row r="836">
      <c r="S836" s="64"/>
    </row>
    <row r="837">
      <c r="S837" s="64"/>
    </row>
    <row r="838">
      <c r="S838" s="64"/>
    </row>
    <row r="839">
      <c r="S839" s="64"/>
    </row>
    <row r="840">
      <c r="S840" s="64"/>
    </row>
    <row r="841">
      <c r="S841" s="64"/>
    </row>
    <row r="842">
      <c r="S842" s="64"/>
    </row>
    <row r="843">
      <c r="S843" s="64"/>
    </row>
    <row r="844">
      <c r="S844" s="64"/>
    </row>
    <row r="845">
      <c r="S845" s="64"/>
    </row>
    <row r="846">
      <c r="S846" s="64"/>
    </row>
    <row r="847">
      <c r="S847" s="64"/>
    </row>
    <row r="848">
      <c r="S848" s="64"/>
    </row>
    <row r="849">
      <c r="S849" s="64"/>
    </row>
    <row r="850">
      <c r="S850" s="64"/>
    </row>
    <row r="851">
      <c r="S851" s="64"/>
    </row>
    <row r="852">
      <c r="S852" s="64"/>
    </row>
    <row r="853">
      <c r="S853" s="64"/>
    </row>
    <row r="854">
      <c r="S854" s="64"/>
    </row>
    <row r="855">
      <c r="S855" s="64"/>
    </row>
    <row r="856">
      <c r="S856" s="64"/>
    </row>
    <row r="857">
      <c r="S857" s="64"/>
    </row>
    <row r="858">
      <c r="S858" s="64"/>
    </row>
    <row r="859">
      <c r="S859" s="64"/>
    </row>
    <row r="860">
      <c r="S860" s="64"/>
    </row>
    <row r="861">
      <c r="S861" s="64"/>
    </row>
    <row r="862">
      <c r="S862" s="64"/>
    </row>
    <row r="863">
      <c r="S863" s="64"/>
    </row>
    <row r="864">
      <c r="S864" s="64"/>
    </row>
    <row r="865">
      <c r="S865" s="64"/>
    </row>
    <row r="866">
      <c r="S866" s="64"/>
    </row>
    <row r="867">
      <c r="S867" s="64"/>
    </row>
    <row r="868">
      <c r="S868" s="64"/>
    </row>
    <row r="869">
      <c r="S869" s="64"/>
    </row>
    <row r="870">
      <c r="S870" s="64"/>
    </row>
    <row r="871">
      <c r="S871" s="64"/>
    </row>
    <row r="872">
      <c r="S872" s="64"/>
    </row>
    <row r="873">
      <c r="S873" s="64"/>
    </row>
    <row r="874">
      <c r="S874" s="64"/>
    </row>
    <row r="875">
      <c r="S875" s="64"/>
    </row>
    <row r="876">
      <c r="S876" s="64"/>
    </row>
    <row r="877">
      <c r="S877" s="64"/>
    </row>
    <row r="878">
      <c r="S878" s="64"/>
    </row>
    <row r="879">
      <c r="S879" s="64"/>
    </row>
    <row r="880">
      <c r="S880" s="64"/>
    </row>
    <row r="881">
      <c r="S881" s="64"/>
    </row>
    <row r="882">
      <c r="S882" s="64"/>
    </row>
    <row r="883">
      <c r="S883" s="64"/>
    </row>
    <row r="884">
      <c r="S884" s="64"/>
    </row>
    <row r="885">
      <c r="S885" s="64"/>
    </row>
    <row r="886">
      <c r="S886" s="64"/>
    </row>
    <row r="887">
      <c r="S887" s="64"/>
    </row>
    <row r="888">
      <c r="S888" s="64"/>
    </row>
    <row r="889">
      <c r="S889" s="64"/>
    </row>
    <row r="890">
      <c r="S890" s="64"/>
    </row>
    <row r="891">
      <c r="S891" s="64"/>
    </row>
    <row r="892">
      <c r="S892" s="64"/>
    </row>
    <row r="893">
      <c r="S893" s="64"/>
    </row>
    <row r="894">
      <c r="S894" s="64"/>
    </row>
    <row r="895">
      <c r="S895" s="64"/>
    </row>
    <row r="896">
      <c r="S896" s="64"/>
    </row>
    <row r="897">
      <c r="S897" s="64"/>
    </row>
    <row r="898">
      <c r="S898" s="64"/>
    </row>
    <row r="899">
      <c r="S899" s="64"/>
    </row>
    <row r="900">
      <c r="S900" s="64"/>
    </row>
    <row r="901">
      <c r="S901" s="64"/>
    </row>
    <row r="902">
      <c r="S902" s="64"/>
    </row>
    <row r="903">
      <c r="S903" s="64"/>
    </row>
    <row r="904">
      <c r="S904" s="64"/>
    </row>
    <row r="905">
      <c r="S905" s="64"/>
    </row>
    <row r="906">
      <c r="S906" s="64"/>
    </row>
    <row r="907">
      <c r="S907" s="64"/>
    </row>
    <row r="908">
      <c r="S908" s="64"/>
    </row>
    <row r="909">
      <c r="S909" s="64"/>
    </row>
    <row r="910">
      <c r="S910" s="64"/>
    </row>
    <row r="911">
      <c r="S911" s="64"/>
    </row>
    <row r="912">
      <c r="S912" s="64"/>
    </row>
    <row r="913">
      <c r="S913" s="64"/>
    </row>
    <row r="914">
      <c r="S914" s="64"/>
    </row>
    <row r="915">
      <c r="S915" s="64"/>
    </row>
    <row r="916">
      <c r="S916" s="64"/>
    </row>
    <row r="917">
      <c r="S917" s="64"/>
    </row>
    <row r="918">
      <c r="S918" s="64"/>
    </row>
    <row r="919">
      <c r="S919" s="64"/>
    </row>
    <row r="920">
      <c r="S920" s="64"/>
    </row>
    <row r="921">
      <c r="S921" s="64"/>
    </row>
    <row r="922">
      <c r="S922" s="64"/>
    </row>
    <row r="923">
      <c r="S923" s="64"/>
    </row>
    <row r="924">
      <c r="S924" s="64"/>
    </row>
    <row r="925">
      <c r="S925" s="64"/>
    </row>
    <row r="926">
      <c r="S926" s="64"/>
    </row>
    <row r="927">
      <c r="S927" s="64"/>
    </row>
    <row r="928">
      <c r="S928" s="64"/>
    </row>
    <row r="929">
      <c r="S929" s="64"/>
    </row>
    <row r="930">
      <c r="S930" s="64"/>
    </row>
    <row r="931">
      <c r="S931" s="64"/>
    </row>
    <row r="932">
      <c r="S932" s="64"/>
    </row>
    <row r="933">
      <c r="S933" s="64"/>
    </row>
    <row r="934">
      <c r="S934" s="64"/>
    </row>
    <row r="935">
      <c r="S935" s="64"/>
    </row>
    <row r="936">
      <c r="S936" s="64"/>
    </row>
    <row r="937">
      <c r="S937" s="64"/>
    </row>
    <row r="938">
      <c r="S938" s="64"/>
    </row>
    <row r="939">
      <c r="S939" s="64"/>
    </row>
    <row r="940">
      <c r="S940" s="64"/>
    </row>
    <row r="941">
      <c r="S941" s="64"/>
    </row>
    <row r="942">
      <c r="S942" s="64"/>
    </row>
    <row r="943">
      <c r="S943" s="64"/>
    </row>
    <row r="944">
      <c r="S944" s="64"/>
    </row>
    <row r="945">
      <c r="S945" s="64"/>
    </row>
    <row r="946">
      <c r="S946" s="64"/>
    </row>
    <row r="947">
      <c r="S947" s="64"/>
    </row>
    <row r="948">
      <c r="S948" s="64"/>
    </row>
    <row r="949">
      <c r="S949" s="64"/>
    </row>
    <row r="950">
      <c r="S950" s="64"/>
    </row>
    <row r="951">
      <c r="S951" s="64"/>
    </row>
    <row r="952">
      <c r="S952" s="64"/>
    </row>
    <row r="953">
      <c r="S953" s="64"/>
    </row>
    <row r="954">
      <c r="S954" s="64"/>
    </row>
    <row r="955">
      <c r="S955" s="64"/>
    </row>
    <row r="956">
      <c r="S956" s="64"/>
    </row>
    <row r="957">
      <c r="S957" s="64"/>
    </row>
    <row r="958">
      <c r="S958" s="64"/>
    </row>
    <row r="959">
      <c r="S959" s="64"/>
    </row>
    <row r="960">
      <c r="S960" s="64"/>
    </row>
    <row r="961">
      <c r="S961" s="64"/>
    </row>
    <row r="962">
      <c r="S962" s="64"/>
    </row>
    <row r="963">
      <c r="S963" s="64"/>
    </row>
    <row r="964">
      <c r="S964" s="64"/>
    </row>
    <row r="965">
      <c r="S965" s="64"/>
    </row>
    <row r="966">
      <c r="S966" s="64"/>
    </row>
    <row r="967">
      <c r="S967" s="64"/>
    </row>
    <row r="968">
      <c r="S968" s="64"/>
    </row>
    <row r="969">
      <c r="S969" s="64"/>
    </row>
    <row r="970">
      <c r="S970" s="64"/>
    </row>
    <row r="971">
      <c r="S971" s="64"/>
    </row>
    <row r="972">
      <c r="S972" s="64"/>
    </row>
    <row r="973">
      <c r="S973" s="64"/>
    </row>
    <row r="974">
      <c r="S974" s="64"/>
    </row>
    <row r="975">
      <c r="S975" s="64"/>
    </row>
    <row r="976">
      <c r="S976" s="64"/>
    </row>
    <row r="977">
      <c r="S977" s="64"/>
    </row>
    <row r="978">
      <c r="S978" s="64"/>
    </row>
    <row r="979">
      <c r="S979" s="64"/>
    </row>
    <row r="980">
      <c r="S980" s="64"/>
    </row>
    <row r="981">
      <c r="S981" s="64"/>
    </row>
    <row r="982">
      <c r="S982" s="64"/>
    </row>
    <row r="983">
      <c r="S983" s="64"/>
    </row>
    <row r="984">
      <c r="S984" s="64"/>
    </row>
    <row r="985">
      <c r="S985" s="64"/>
    </row>
    <row r="986">
      <c r="S986" s="64"/>
    </row>
    <row r="987">
      <c r="S987" s="64"/>
    </row>
    <row r="988">
      <c r="S988" s="64"/>
    </row>
    <row r="989">
      <c r="S989" s="64"/>
    </row>
    <row r="990">
      <c r="S990" s="64"/>
    </row>
    <row r="991">
      <c r="S991" s="64"/>
    </row>
    <row r="992">
      <c r="S992" s="64"/>
    </row>
    <row r="993">
      <c r="S993" s="64"/>
    </row>
    <row r="994">
      <c r="S994" s="64"/>
    </row>
    <row r="995">
      <c r="S995" s="64"/>
    </row>
    <row r="996">
      <c r="S996" s="64"/>
    </row>
    <row r="997">
      <c r="S997" s="64"/>
    </row>
    <row r="998">
      <c r="S998" s="64"/>
    </row>
    <row r="999">
      <c r="S999" s="64"/>
    </row>
    <row r="1000">
      <c r="S1000" s="64"/>
    </row>
    <row r="1001">
      <c r="S1001" s="64"/>
    </row>
  </sheetData>
  <mergeCells count="6">
    <mergeCell ref="A1:A2"/>
    <mergeCell ref="B1:B2"/>
    <mergeCell ref="C1:C2"/>
    <mergeCell ref="D1:H1"/>
    <mergeCell ref="I1:L1"/>
    <mergeCell ref="M1:S1"/>
  </mergeCells>
  <drawing r:id="rId1"/>
</worksheet>
</file>